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__Study\Projects\C#\AzurLane\AzurLane\"/>
    </mc:Choice>
  </mc:AlternateContent>
  <bookViews>
    <workbookView xWindow="0" yWindow="0" windowWidth="22260" windowHeight="12645"/>
  </bookViews>
  <sheets>
    <sheet name="舰炮" sheetId="1" r:id="rId1"/>
    <sheet name="防空炮" sheetId="2" r:id="rId2"/>
    <sheet name="鱼雷" sheetId="3" r:id="rId3"/>
    <sheet name="舰载机" sheetId="4" r:id="rId4"/>
    <sheet name="设备" sheetId="6" r:id="rId5"/>
    <sheet name="附件" sheetId="5" r:id="rId6"/>
  </sheets>
  <definedNames>
    <definedName name="_xlnm._FilterDatabase" localSheetId="1" hidden="1">防空炮!$A$1:$T$87</definedName>
    <definedName name="_xlnm._FilterDatabase" localSheetId="0" hidden="1">舰炮!$A$1:$AE$190</definedName>
    <definedName name="_xlnm._FilterDatabase" localSheetId="3" hidden="1">舰载机!$A$1:$O$101</definedName>
    <definedName name="_xlnm._FilterDatabase" localSheetId="4" hidden="1">设备!$A$1:$AA$104</definedName>
    <definedName name="_xlnm._FilterDatabase" localSheetId="2" hidden="1">鱼雷!$A$1:$U$52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30" i="1" l="1"/>
  <c r="AA230" i="1" s="1"/>
  <c r="AB230" i="1"/>
  <c r="Z156" i="1"/>
  <c r="AA156" i="1" s="1"/>
  <c r="AB156" i="1"/>
  <c r="Z70" i="1"/>
  <c r="AA70" i="1" s="1"/>
  <c r="AB70" i="1"/>
  <c r="Z41" i="1"/>
  <c r="AA41" i="1" s="1"/>
  <c r="AB41" i="1"/>
  <c r="Z206" i="1"/>
  <c r="AA206" i="1" s="1"/>
  <c r="AB206" i="1"/>
  <c r="Z104" i="1"/>
  <c r="AA104" i="1" s="1"/>
  <c r="AB104" i="1"/>
  <c r="Z139" i="1"/>
  <c r="AA139" i="1" s="1"/>
  <c r="AB139" i="1"/>
  <c r="Z21" i="1"/>
  <c r="AA21" i="1" s="1"/>
  <c r="AB21" i="1"/>
  <c r="Z66" i="1"/>
  <c r="AA66" i="1" s="1"/>
  <c r="AB66" i="1"/>
  <c r="Z26" i="1"/>
  <c r="AA26" i="1" s="1"/>
  <c r="AB26" i="1"/>
  <c r="Z233" i="1"/>
  <c r="AA233" i="1" s="1"/>
  <c r="AB233" i="1"/>
  <c r="Z108" i="1"/>
  <c r="AA108" i="1" s="1"/>
  <c r="AB108" i="1"/>
  <c r="Z20" i="1"/>
  <c r="AA20" i="1" s="1"/>
  <c r="AB20" i="1"/>
  <c r="Z69" i="1"/>
  <c r="AA69" i="1" s="1"/>
  <c r="AB69" i="1"/>
  <c r="Z84" i="1"/>
  <c r="AA84" i="1" s="1"/>
  <c r="AB84" i="1"/>
  <c r="Z214" i="1"/>
  <c r="AA214" i="1" s="1"/>
  <c r="AB214" i="1"/>
  <c r="Z44" i="1"/>
  <c r="AA44" i="1" s="1"/>
  <c r="AB44" i="1"/>
  <c r="Z244" i="1"/>
  <c r="AA244" i="1" s="1"/>
  <c r="AB244" i="1"/>
  <c r="Z117" i="1"/>
  <c r="AA117" i="1" s="1"/>
  <c r="AB117" i="1"/>
  <c r="Z241" i="1"/>
  <c r="AA241" i="1" s="1"/>
  <c r="AB241" i="1"/>
  <c r="Z7" i="1"/>
  <c r="AA7" i="1" s="1"/>
  <c r="AB7" i="1"/>
  <c r="Z53" i="1"/>
  <c r="AA53" i="1" s="1"/>
  <c r="AB53" i="1"/>
  <c r="Z166" i="1"/>
  <c r="AA166" i="1" s="1"/>
  <c r="AB166" i="1"/>
  <c r="Z97" i="1"/>
  <c r="AA97" i="1"/>
  <c r="AB97" i="1"/>
  <c r="Z75" i="1"/>
  <c r="AA75" i="1" s="1"/>
  <c r="AB75" i="1"/>
  <c r="Z151" i="1"/>
  <c r="AA151" i="1" s="1"/>
  <c r="AB151" i="1"/>
  <c r="Z105" i="1"/>
  <c r="AA105" i="1" s="1"/>
  <c r="AB105" i="1"/>
  <c r="Z181" i="1"/>
  <c r="AA181" i="1"/>
  <c r="AB181" i="1"/>
  <c r="Z174" i="1"/>
  <c r="AA174" i="1" s="1"/>
  <c r="AB174" i="1"/>
  <c r="Z213" i="1"/>
  <c r="AA213" i="1"/>
  <c r="AB213" i="1"/>
  <c r="Z201" i="1"/>
  <c r="AA201" i="1" s="1"/>
  <c r="AB201" i="1"/>
  <c r="Z92" i="1"/>
  <c r="AA92" i="1" s="1"/>
  <c r="AB92" i="1"/>
  <c r="Z227" i="1"/>
  <c r="AA227" i="1" s="1"/>
  <c r="AB227" i="1"/>
  <c r="Z205" i="1"/>
  <c r="AA205" i="1" s="1"/>
  <c r="AB205" i="1"/>
  <c r="Z34" i="1"/>
  <c r="AA34" i="1" s="1"/>
  <c r="AB34" i="1"/>
  <c r="Z96" i="1"/>
  <c r="AA96" i="1" s="1"/>
  <c r="AB96" i="1"/>
  <c r="Z194" i="1"/>
  <c r="AA194" i="1" s="1"/>
  <c r="AB194" i="1"/>
  <c r="Z4" i="1"/>
  <c r="AA4" i="1" s="1"/>
  <c r="AB4" i="1"/>
  <c r="Z36" i="1"/>
  <c r="AA36" i="1" s="1"/>
  <c r="AB36" i="1"/>
  <c r="Z100" i="1"/>
  <c r="AA100" i="1" s="1"/>
  <c r="AB100" i="1"/>
  <c r="Z198" i="1"/>
  <c r="AA198" i="1" s="1"/>
  <c r="AB198" i="1"/>
  <c r="Z180" i="1"/>
  <c r="AA180" i="1" s="1"/>
  <c r="AE180" i="1" s="1"/>
  <c r="AB180" i="1"/>
  <c r="Z145" i="1"/>
  <c r="AA145" i="1" s="1"/>
  <c r="AB145" i="1"/>
  <c r="Z212" i="1"/>
  <c r="AA212" i="1" s="1"/>
  <c r="AB212" i="1"/>
  <c r="Z86" i="1"/>
  <c r="AA86" i="1" s="1"/>
  <c r="AB86" i="1"/>
  <c r="Z217" i="1"/>
  <c r="AA217" i="1" s="1"/>
  <c r="AE217" i="1" s="1"/>
  <c r="AB217" i="1"/>
  <c r="Z114" i="1"/>
  <c r="AA114" i="1" s="1"/>
  <c r="AB114" i="1"/>
  <c r="Z18" i="1"/>
  <c r="AA18" i="1" s="1"/>
  <c r="AB18" i="1"/>
  <c r="Z195" i="1"/>
  <c r="AA195" i="1" s="1"/>
  <c r="AB195" i="1"/>
  <c r="Z159" i="1"/>
  <c r="AA159" i="1" s="1"/>
  <c r="AE159" i="1" s="1"/>
  <c r="AB159" i="1"/>
  <c r="Z25" i="1"/>
  <c r="AA25" i="1" s="1"/>
  <c r="AB25" i="1"/>
  <c r="Z168" i="1"/>
  <c r="AA168" i="1" s="1"/>
  <c r="AB168" i="1"/>
  <c r="Z147" i="1"/>
  <c r="AA147" i="1" s="1"/>
  <c r="AB147" i="1"/>
  <c r="Z27" i="1"/>
  <c r="AA27" i="1" s="1"/>
  <c r="AE27" i="1" s="1"/>
  <c r="AB27" i="1"/>
  <c r="Z160" i="1"/>
  <c r="AA160" i="1" s="1"/>
  <c r="AB160" i="1"/>
  <c r="Z236" i="1"/>
  <c r="AA236" i="1" s="1"/>
  <c r="AB236" i="1"/>
  <c r="Z90" i="1"/>
  <c r="AA90" i="1" s="1"/>
  <c r="AB90" i="1"/>
  <c r="Z116" i="1"/>
  <c r="AA116" i="1"/>
  <c r="AE116" i="1" s="1"/>
  <c r="AB116" i="1"/>
  <c r="Z76" i="1"/>
  <c r="AA76" i="1" s="1"/>
  <c r="AB76" i="1"/>
  <c r="Z110" i="1"/>
  <c r="AA110" i="1" s="1"/>
  <c r="AB110" i="1"/>
  <c r="Z226" i="1"/>
  <c r="AA226" i="1" s="1"/>
  <c r="AB226" i="1"/>
  <c r="Z130" i="1"/>
  <c r="AA130" i="1" s="1"/>
  <c r="AE130" i="1" s="1"/>
  <c r="AB130" i="1"/>
  <c r="Z219" i="1"/>
  <c r="AA219" i="1" s="1"/>
  <c r="AB219" i="1"/>
  <c r="Z94" i="1"/>
  <c r="AA94" i="1" s="1"/>
  <c r="AB94" i="1"/>
  <c r="Z164" i="1"/>
  <c r="AA164" i="1" s="1"/>
  <c r="AB164" i="1"/>
  <c r="Z170" i="1"/>
  <c r="AA170" i="1" s="1"/>
  <c r="AE170" i="1" s="1"/>
  <c r="AB170" i="1"/>
  <c r="AC110" i="1" l="1"/>
  <c r="AD110" i="1"/>
  <c r="AE110" i="1"/>
  <c r="AC96" i="1"/>
  <c r="AD96" i="1"/>
  <c r="AE96" i="1"/>
  <c r="AC100" i="1"/>
  <c r="AD100" i="1"/>
  <c r="AE100" i="1"/>
  <c r="AC244" i="1"/>
  <c r="AD244" i="1"/>
  <c r="AE244" i="1"/>
  <c r="AC69" i="1"/>
  <c r="AD69" i="1"/>
  <c r="AE69" i="1"/>
  <c r="AC212" i="1"/>
  <c r="AD212" i="1"/>
  <c r="AE212" i="1"/>
  <c r="AC236" i="1"/>
  <c r="AD236" i="1"/>
  <c r="AE236" i="1"/>
  <c r="AC241" i="1"/>
  <c r="AD241" i="1"/>
  <c r="AE241" i="1"/>
  <c r="AC151" i="1"/>
  <c r="AD151" i="1"/>
  <c r="AE151" i="1"/>
  <c r="AC94" i="1"/>
  <c r="AD94" i="1"/>
  <c r="AE94" i="1"/>
  <c r="AC18" i="1"/>
  <c r="AD18" i="1"/>
  <c r="AE18" i="1"/>
  <c r="AC4" i="1"/>
  <c r="AD4" i="1"/>
  <c r="AE4" i="1"/>
  <c r="AC168" i="1"/>
  <c r="AD168" i="1"/>
  <c r="AE168" i="1"/>
  <c r="AC214" i="1"/>
  <c r="AD214" i="1"/>
  <c r="AE214" i="1"/>
  <c r="AC145" i="1"/>
  <c r="AD145" i="1"/>
  <c r="AE145" i="1"/>
  <c r="AC206" i="1"/>
  <c r="AD206" i="1"/>
  <c r="AE206" i="1"/>
  <c r="AC117" i="1"/>
  <c r="AD117" i="1"/>
  <c r="AE117" i="1"/>
  <c r="AC166" i="1"/>
  <c r="AD166" i="1"/>
  <c r="AE166" i="1"/>
  <c r="AC219" i="1"/>
  <c r="AD219" i="1"/>
  <c r="AE219" i="1"/>
  <c r="AC227" i="1"/>
  <c r="AD227" i="1"/>
  <c r="AE227" i="1"/>
  <c r="AC92" i="1"/>
  <c r="AD92" i="1"/>
  <c r="AE92" i="1"/>
  <c r="AC20" i="1"/>
  <c r="AD20" i="1"/>
  <c r="AE20" i="1"/>
  <c r="AC21" i="1"/>
  <c r="AD21" i="1"/>
  <c r="AE21" i="1"/>
  <c r="AC84" i="1"/>
  <c r="AD84" i="1"/>
  <c r="AE84" i="1"/>
  <c r="AC27" i="1"/>
  <c r="AD27" i="1"/>
  <c r="AC90" i="1"/>
  <c r="AD90" i="1"/>
  <c r="AE90" i="1"/>
  <c r="AC198" i="1"/>
  <c r="AD198" i="1"/>
  <c r="AE198" i="1"/>
  <c r="AC53" i="1"/>
  <c r="AD53" i="1"/>
  <c r="AE53" i="1"/>
  <c r="AC70" i="1"/>
  <c r="AD70" i="1"/>
  <c r="AE70" i="1"/>
  <c r="AC25" i="1"/>
  <c r="AD25" i="1"/>
  <c r="AE25" i="1"/>
  <c r="AC174" i="1"/>
  <c r="AD174" i="1"/>
  <c r="AE174" i="1"/>
  <c r="AC170" i="1"/>
  <c r="AD170" i="1"/>
  <c r="AC159" i="1"/>
  <c r="AD159" i="1"/>
  <c r="AC226" i="1"/>
  <c r="AD226" i="1"/>
  <c r="AE226" i="1"/>
  <c r="AC86" i="1"/>
  <c r="AD86" i="1"/>
  <c r="AE86" i="1"/>
  <c r="AC105" i="1"/>
  <c r="AD105" i="1"/>
  <c r="AE105" i="1"/>
  <c r="AC44" i="1"/>
  <c r="AD44" i="1"/>
  <c r="AE44" i="1"/>
  <c r="AC108" i="1"/>
  <c r="AD108" i="1"/>
  <c r="AE108" i="1"/>
  <c r="AC114" i="1"/>
  <c r="AD114" i="1"/>
  <c r="AE114" i="1"/>
  <c r="AC26" i="1"/>
  <c r="AD26" i="1"/>
  <c r="AE26" i="1"/>
  <c r="AC116" i="1"/>
  <c r="AD116" i="1"/>
  <c r="AC217" i="1"/>
  <c r="AD217" i="1"/>
  <c r="AC181" i="1"/>
  <c r="AD181" i="1"/>
  <c r="AE181" i="1"/>
  <c r="AC41" i="1"/>
  <c r="AD41" i="1"/>
  <c r="AE41" i="1"/>
  <c r="AC147" i="1"/>
  <c r="AD147" i="1"/>
  <c r="AE147" i="1"/>
  <c r="AC201" i="1"/>
  <c r="AD201" i="1"/>
  <c r="AE201" i="1"/>
  <c r="AC139" i="1"/>
  <c r="AD139" i="1"/>
  <c r="AE139" i="1"/>
  <c r="AC156" i="1"/>
  <c r="AD156" i="1"/>
  <c r="AE156" i="1"/>
  <c r="AC36" i="1"/>
  <c r="AD36" i="1"/>
  <c r="AE36" i="1"/>
  <c r="AC97" i="1"/>
  <c r="AD97" i="1"/>
  <c r="AE97" i="1"/>
  <c r="AC180" i="1"/>
  <c r="AD180" i="1"/>
  <c r="AC164" i="1"/>
  <c r="AD164" i="1"/>
  <c r="AE164" i="1"/>
  <c r="AC195" i="1"/>
  <c r="AD195" i="1"/>
  <c r="AE195" i="1"/>
  <c r="AC7" i="1"/>
  <c r="AD7" i="1"/>
  <c r="AE7" i="1"/>
  <c r="AC160" i="1"/>
  <c r="AD160" i="1"/>
  <c r="AE160" i="1"/>
  <c r="AC130" i="1"/>
  <c r="AD130" i="1"/>
  <c r="AC66" i="1"/>
  <c r="AD66" i="1"/>
  <c r="AE66" i="1"/>
  <c r="AC194" i="1"/>
  <c r="AD194" i="1"/>
  <c r="AE194" i="1"/>
  <c r="AC233" i="1"/>
  <c r="AD233" i="1"/>
  <c r="AE233" i="1"/>
  <c r="AC104" i="1"/>
  <c r="AD104" i="1"/>
  <c r="AE104" i="1"/>
  <c r="AC76" i="1"/>
  <c r="AD76" i="1"/>
  <c r="AE76" i="1"/>
  <c r="AC205" i="1"/>
  <c r="AD205" i="1"/>
  <c r="AE205" i="1"/>
  <c r="AC34" i="1"/>
  <c r="AD34" i="1"/>
  <c r="AE34" i="1"/>
  <c r="AC213" i="1"/>
  <c r="AD213" i="1"/>
  <c r="AE213" i="1"/>
  <c r="AC75" i="1"/>
  <c r="AD75" i="1"/>
  <c r="AE75" i="1"/>
  <c r="AC230" i="1"/>
  <c r="AD230" i="1"/>
  <c r="AE230" i="1"/>
  <c r="T53" i="3"/>
  <c r="U53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2" i="3"/>
  <c r="S19" i="2" l="1"/>
  <c r="S7" i="2"/>
  <c r="S5" i="2"/>
  <c r="S63" i="2"/>
  <c r="S2" i="2"/>
  <c r="S13" i="2"/>
  <c r="S23" i="2"/>
  <c r="S31" i="2"/>
  <c r="S69" i="2"/>
  <c r="S12" i="2"/>
  <c r="S59" i="2"/>
  <c r="S11" i="2"/>
  <c r="S15" i="2"/>
  <c r="S61" i="2"/>
  <c r="S8" i="2"/>
  <c r="S43" i="2"/>
  <c r="S38" i="2"/>
  <c r="S44" i="2"/>
  <c r="S9" i="2"/>
  <c r="S35" i="2"/>
  <c r="S24" i="2"/>
  <c r="S32" i="2"/>
  <c r="S50" i="2"/>
  <c r="S30" i="2"/>
  <c r="S33" i="2"/>
  <c r="S4" i="2"/>
  <c r="S3" i="2"/>
  <c r="S46" i="2"/>
  <c r="S62" i="2"/>
  <c r="S45" i="2"/>
  <c r="S22" i="2"/>
  <c r="S48" i="2"/>
  <c r="S36" i="2"/>
  <c r="S55" i="2"/>
  <c r="S37" i="2"/>
  <c r="S42" i="2"/>
  <c r="S70" i="2"/>
  <c r="S67" i="2"/>
  <c r="S53" i="2"/>
  <c r="S56" i="2"/>
  <c r="S39" i="2"/>
  <c r="S40" i="2"/>
  <c r="S65" i="2"/>
  <c r="S6" i="2"/>
  <c r="S47" i="2"/>
  <c r="S17" i="2"/>
  <c r="S54" i="2"/>
  <c r="S66" i="2"/>
  <c r="S51" i="2"/>
  <c r="S71" i="2"/>
  <c r="S18" i="2"/>
  <c r="S14" i="2"/>
  <c r="S64" i="2"/>
  <c r="S34" i="2"/>
  <c r="S16" i="2"/>
  <c r="S29" i="2"/>
  <c r="S41" i="2"/>
  <c r="S20" i="2"/>
  <c r="S60" i="2"/>
  <c r="S27" i="2"/>
  <c r="S57" i="2"/>
  <c r="S49" i="2"/>
  <c r="S25" i="2"/>
  <c r="S52" i="2"/>
  <c r="S68" i="2"/>
  <c r="S10" i="2"/>
  <c r="S28" i="2"/>
  <c r="S21" i="2"/>
  <c r="S26" i="2"/>
  <c r="S58" i="2"/>
  <c r="T65" i="2" l="1"/>
  <c r="T9" i="2"/>
  <c r="T57" i="2"/>
  <c r="T5" i="2"/>
  <c r="T41" i="2"/>
  <c r="T2" i="2"/>
  <c r="T8" i="2"/>
  <c r="T39" i="2"/>
  <c r="T10" i="2"/>
  <c r="T66" i="2"/>
  <c r="T19" i="2"/>
  <c r="T45" i="2"/>
  <c r="T31" i="2"/>
  <c r="T13" i="2"/>
  <c r="T54" i="2"/>
  <c r="T69" i="2"/>
  <c r="T11" i="2"/>
  <c r="T18" i="2"/>
  <c r="T36" i="2"/>
  <c r="T59" i="2"/>
  <c r="T60" i="2"/>
  <c r="T58" i="2"/>
  <c r="T48" i="2"/>
  <c r="T61" i="2"/>
  <c r="T56" i="2"/>
  <c r="T46" i="2"/>
  <c r="T7" i="2"/>
  <c r="T17" i="2"/>
  <c r="T6" i="2"/>
  <c r="T51" i="2"/>
  <c r="T50" i="2"/>
  <c r="T47" i="2"/>
  <c r="T62" i="2"/>
  <c r="T29" i="2"/>
  <c r="T52" i="2"/>
  <c r="T25" i="2"/>
  <c r="T68" i="2"/>
  <c r="T32" i="2"/>
  <c r="T22" i="2"/>
  <c r="T55" i="2"/>
  <c r="T64" i="2"/>
  <c r="T40" i="2"/>
  <c r="T3" i="2"/>
  <c r="T34" i="2"/>
  <c r="T23" i="2"/>
  <c r="T28" i="2"/>
  <c r="T12" i="2"/>
  <c r="T71" i="2"/>
  <c r="T43" i="2"/>
  <c r="T15" i="2"/>
  <c r="T14" i="2"/>
  <c r="T30" i="2"/>
  <c r="T37" i="2"/>
  <c r="T49" i="2"/>
  <c r="T53" i="2"/>
  <c r="T38" i="2"/>
  <c r="T42" i="2"/>
  <c r="T24" i="2"/>
  <c r="T16" i="2"/>
  <c r="T20" i="2"/>
  <c r="T35" i="2"/>
  <c r="T21" i="2"/>
  <c r="T4" i="2"/>
  <c r="T70" i="2"/>
  <c r="T67" i="2"/>
  <c r="T27" i="2"/>
  <c r="T44" i="2"/>
  <c r="T33" i="2"/>
  <c r="T63" i="2"/>
  <c r="T26" i="2"/>
  <c r="Z221" i="1" l="1"/>
  <c r="Z216" i="1"/>
  <c r="Z157" i="1"/>
  <c r="Z85" i="1"/>
  <c r="Z42" i="1"/>
  <c r="Z35" i="1"/>
  <c r="Z71" i="1"/>
  <c r="Z189" i="1"/>
  <c r="Z196" i="1"/>
  <c r="Z73" i="1"/>
  <c r="Z182" i="1"/>
  <c r="Z222" i="1"/>
  <c r="Z220" i="1"/>
  <c r="Z172" i="1"/>
  <c r="Z225" i="1"/>
  <c r="Z232" i="1"/>
  <c r="Z111" i="1"/>
  <c r="Z106" i="1"/>
  <c r="Z122" i="1"/>
  <c r="Z10" i="1"/>
  <c r="Z98" i="1"/>
  <c r="Z163" i="1"/>
  <c r="Z118" i="1"/>
  <c r="Z126" i="1"/>
  <c r="Z95" i="1"/>
  <c r="Z202" i="1"/>
  <c r="Z210" i="1"/>
  <c r="Z128" i="1"/>
  <c r="Z235" i="1"/>
  <c r="Z19" i="1"/>
  <c r="Z2" i="1"/>
  <c r="Z144" i="1"/>
  <c r="Z173" i="1"/>
  <c r="Z88" i="1"/>
  <c r="Z81" i="1"/>
  <c r="Z146" i="1"/>
  <c r="Z135" i="1"/>
  <c r="Z115" i="1"/>
  <c r="Z32" i="1"/>
  <c r="Z52" i="1"/>
  <c r="Z178" i="1"/>
  <c r="Z142" i="1"/>
  <c r="Z223" i="1"/>
  <c r="Z237" i="1"/>
  <c r="Z123" i="1"/>
  <c r="Z38" i="1"/>
  <c r="Z176" i="1"/>
  <c r="Z3" i="1"/>
  <c r="Z59" i="1"/>
  <c r="Z208" i="1"/>
  <c r="Z5" i="1"/>
  <c r="Z101" i="1"/>
  <c r="Z79" i="1"/>
  <c r="Z167" i="1"/>
  <c r="Z234" i="1"/>
  <c r="Z24" i="1"/>
  <c r="Z136" i="1"/>
  <c r="Z218" i="1"/>
  <c r="Z209" i="1"/>
  <c r="Z112" i="1"/>
  <c r="Z190" i="1"/>
  <c r="Z187" i="1"/>
  <c r="Z154" i="1"/>
  <c r="Z109" i="1"/>
  <c r="Z78" i="1"/>
  <c r="Z211" i="1"/>
  <c r="Z103" i="1"/>
  <c r="Z31" i="1"/>
  <c r="Z137" i="1"/>
  <c r="Z229" i="1"/>
  <c r="Z72" i="1"/>
  <c r="Z143" i="1"/>
  <c r="Z68" i="1"/>
  <c r="Z28" i="1"/>
  <c r="Z61" i="1"/>
  <c r="Z47" i="1"/>
  <c r="Z125" i="1"/>
  <c r="Z55" i="1"/>
  <c r="Z215" i="1"/>
  <c r="Z192" i="1"/>
  <c r="Z74" i="1"/>
  <c r="Z60" i="1"/>
  <c r="Z99" i="1"/>
  <c r="Z186" i="1"/>
  <c r="Z23" i="1"/>
  <c r="Z48" i="1"/>
  <c r="Z134" i="1"/>
  <c r="Z158" i="1"/>
  <c r="Z49" i="1"/>
  <c r="Z193" i="1"/>
  <c r="Z121" i="1"/>
  <c r="Z197" i="1"/>
  <c r="Z179" i="1"/>
  <c r="Z17" i="1"/>
  <c r="Z37" i="1"/>
  <c r="Z80" i="1"/>
  <c r="Z13" i="1"/>
  <c r="Z228" i="1"/>
  <c r="Z240" i="1"/>
  <c r="Z183" i="1"/>
  <c r="Z12" i="1"/>
  <c r="Z83" i="1"/>
  <c r="Z93" i="1"/>
  <c r="Z33" i="1"/>
  <c r="Z6" i="1"/>
  <c r="Z107" i="1"/>
  <c r="Z15" i="1"/>
  <c r="Z102" i="1"/>
  <c r="Z113" i="1"/>
  <c r="Z57" i="1"/>
  <c r="Z242" i="1"/>
  <c r="Z161" i="1"/>
  <c r="Z207" i="1"/>
  <c r="Z153" i="1"/>
  <c r="Z8" i="1"/>
  <c r="Z67" i="1"/>
  <c r="Z63" i="1"/>
  <c r="Z30" i="1"/>
  <c r="Z231" i="1"/>
  <c r="Z152" i="1"/>
  <c r="Z54" i="1"/>
  <c r="Z184" i="1"/>
  <c r="Z120" i="1"/>
  <c r="Z243" i="1"/>
  <c r="Z65" i="1"/>
  <c r="Z148" i="1"/>
  <c r="Z56" i="1"/>
  <c r="Z165" i="1"/>
  <c r="Z204" i="1"/>
  <c r="Z51" i="1"/>
  <c r="Z89" i="1"/>
  <c r="Z45" i="1"/>
  <c r="Z132" i="1"/>
  <c r="Z175" i="1"/>
  <c r="Z239" i="1"/>
  <c r="Z141" i="1"/>
  <c r="Z22" i="1"/>
  <c r="Z50" i="1"/>
  <c r="Z138" i="1"/>
  <c r="Z171" i="1"/>
  <c r="Z46" i="1"/>
  <c r="Z16" i="1"/>
  <c r="Z169" i="1"/>
  <c r="Z64" i="1"/>
  <c r="Z9" i="1"/>
  <c r="Z199" i="1"/>
  <c r="Z191" i="1"/>
  <c r="Z14" i="1"/>
  <c r="Z177" i="1"/>
  <c r="Z238" i="1"/>
  <c r="Z150" i="1"/>
  <c r="Z119" i="1"/>
  <c r="Z87" i="1"/>
  <c r="Z155" i="1"/>
  <c r="Z162" i="1"/>
  <c r="Z11" i="1"/>
  <c r="Z77" i="1"/>
  <c r="Z131" i="1"/>
  <c r="Z203" i="1"/>
  <c r="Z91" i="1"/>
  <c r="Z39" i="1"/>
  <c r="Z29" i="1"/>
  <c r="Z188" i="1"/>
  <c r="Z185" i="1"/>
  <c r="Z149" i="1"/>
  <c r="Z124" i="1"/>
  <c r="Z140" i="1"/>
  <c r="Z62" i="1"/>
  <c r="Z200" i="1"/>
  <c r="Z224" i="1"/>
  <c r="Z40" i="1"/>
  <c r="Z58" i="1"/>
  <c r="Z127" i="1"/>
  <c r="Z129" i="1"/>
  <c r="Z43" i="1"/>
  <c r="Z82" i="1"/>
  <c r="Z133" i="1"/>
  <c r="AA216" i="1" l="1"/>
  <c r="AC216" i="1" s="1"/>
  <c r="AA146" i="1"/>
  <c r="AC146" i="1" s="1"/>
  <c r="AA189" i="1"/>
  <c r="AC189" i="1" s="1"/>
  <c r="AA42" i="1"/>
  <c r="AC42" i="1" s="1"/>
  <c r="AA73" i="1"/>
  <c r="AC73" i="1" s="1"/>
  <c r="AA221" i="1"/>
  <c r="AD221" i="1" s="1"/>
  <c r="AA52" i="1"/>
  <c r="AC52" i="1" s="1"/>
  <c r="AA222" i="1"/>
  <c r="AC222" i="1" s="1"/>
  <c r="AA122" i="1"/>
  <c r="AC122" i="1" s="1"/>
  <c r="AA172" i="1"/>
  <c r="AC172" i="1" s="1"/>
  <c r="AA126" i="1"/>
  <c r="AC126" i="1" s="1"/>
  <c r="AA118" i="1"/>
  <c r="AC118" i="1" s="1"/>
  <c r="AA111" i="1"/>
  <c r="AC111" i="1" s="1"/>
  <c r="AA95" i="1"/>
  <c r="AC95" i="1" s="1"/>
  <c r="AA38" i="1"/>
  <c r="AC38" i="1" s="1"/>
  <c r="AA235" i="1"/>
  <c r="AC235" i="1" s="1"/>
  <c r="AA220" i="1"/>
  <c r="AC220" i="1" s="1"/>
  <c r="AA115" i="1"/>
  <c r="AC115" i="1" s="1"/>
  <c r="AA157" i="1"/>
  <c r="AC157" i="1" s="1"/>
  <c r="AA225" i="1"/>
  <c r="AC225" i="1" s="1"/>
  <c r="AA173" i="1"/>
  <c r="AC173" i="1" s="1"/>
  <c r="AA109" i="1"/>
  <c r="AC109" i="1" s="1"/>
  <c r="AA32" i="1"/>
  <c r="AC32" i="1" s="1"/>
  <c r="AA144" i="1"/>
  <c r="AC144" i="1" s="1"/>
  <c r="AA81" i="1"/>
  <c r="AC81" i="1" s="1"/>
  <c r="AA98" i="1"/>
  <c r="AC98" i="1" s="1"/>
  <c r="AA19" i="1"/>
  <c r="AC19" i="1" s="1"/>
  <c r="AA178" i="1"/>
  <c r="AC178" i="1" s="1"/>
  <c r="AA142" i="1"/>
  <c r="AC142" i="1" s="1"/>
  <c r="AA31" i="1"/>
  <c r="AC31" i="1" s="1"/>
  <c r="AA123" i="1"/>
  <c r="AC123" i="1" s="1"/>
  <c r="AA208" i="1"/>
  <c r="AC208" i="1" s="1"/>
  <c r="AA59" i="1"/>
  <c r="AC59" i="1" s="1"/>
  <c r="AA234" i="1"/>
  <c r="AC234" i="1" s="1"/>
  <c r="AA135" i="1"/>
  <c r="AC135" i="1" s="1"/>
  <c r="AA211" i="1"/>
  <c r="AC211" i="1" s="1"/>
  <c r="AA143" i="1"/>
  <c r="AC143" i="1" s="1"/>
  <c r="AA79" i="1"/>
  <c r="AC79" i="1" s="1"/>
  <c r="AA78" i="1"/>
  <c r="AC78" i="1" s="1"/>
  <c r="AA167" i="1"/>
  <c r="AC167" i="1" s="1"/>
  <c r="AA154" i="1"/>
  <c r="AC154" i="1" s="1"/>
  <c r="AA68" i="1"/>
  <c r="AC68" i="1" s="1"/>
  <c r="AA187" i="1"/>
  <c r="AC187" i="1" s="1"/>
  <c r="AA218" i="1"/>
  <c r="AC218" i="1" s="1"/>
  <c r="AA103" i="1"/>
  <c r="AC103" i="1" s="1"/>
  <c r="AA72" i="1"/>
  <c r="AC72" i="1" s="1"/>
  <c r="AA229" i="1"/>
  <c r="AC229" i="1" s="1"/>
  <c r="AA125" i="1"/>
  <c r="AC125" i="1" s="1"/>
  <c r="AA55" i="1"/>
  <c r="AC55" i="1" s="1"/>
  <c r="AA5" i="1"/>
  <c r="AC5" i="1" s="1"/>
  <c r="AA137" i="1"/>
  <c r="AC137" i="1" s="1"/>
  <c r="AA192" i="1"/>
  <c r="AC192" i="1" s="1"/>
  <c r="AA134" i="1"/>
  <c r="AC134" i="1" s="1"/>
  <c r="AA17" i="1"/>
  <c r="AC17" i="1" s="1"/>
  <c r="AA121" i="1"/>
  <c r="AD121" i="1" s="1"/>
  <c r="AA197" i="1"/>
  <c r="AC197" i="1" s="1"/>
  <c r="AA193" i="1"/>
  <c r="AC193" i="1" s="1"/>
  <c r="AA13" i="1"/>
  <c r="AC13" i="1" s="1"/>
  <c r="AA80" i="1"/>
  <c r="AC80" i="1" s="1"/>
  <c r="AA240" i="1"/>
  <c r="AC240" i="1" s="1"/>
  <c r="AA37" i="1"/>
  <c r="AC37" i="1" s="1"/>
  <c r="AA48" i="1"/>
  <c r="AC48" i="1" s="1"/>
  <c r="AA12" i="1"/>
  <c r="AD12" i="1" s="1"/>
  <c r="AA83" i="1"/>
  <c r="AC83" i="1" s="1"/>
  <c r="AA93" i="1"/>
  <c r="AC93" i="1" s="1"/>
  <c r="AA113" i="1"/>
  <c r="AC113" i="1" s="1"/>
  <c r="AA6" i="1"/>
  <c r="AC6" i="1" s="1"/>
  <c r="AA107" i="1"/>
  <c r="AC107" i="1" s="1"/>
  <c r="AA15" i="1"/>
  <c r="AC15" i="1" s="1"/>
  <c r="AA207" i="1"/>
  <c r="AC207" i="1" s="1"/>
  <c r="AA158" i="1"/>
  <c r="AC158" i="1" s="1"/>
  <c r="AA63" i="1"/>
  <c r="AC63" i="1" s="1"/>
  <c r="AA67" i="1"/>
  <c r="AC67" i="1" s="1"/>
  <c r="AA231" i="1"/>
  <c r="AC231" i="1" s="1"/>
  <c r="AA161" i="1"/>
  <c r="AC161" i="1" s="1"/>
  <c r="AA152" i="1"/>
  <c r="AC152" i="1" s="1"/>
  <c r="AA54" i="1"/>
  <c r="AC54" i="1" s="1"/>
  <c r="AA243" i="1"/>
  <c r="AC243" i="1" s="1"/>
  <c r="AA148" i="1"/>
  <c r="AC148" i="1" s="1"/>
  <c r="AA30" i="1"/>
  <c r="AC30" i="1" s="1"/>
  <c r="AA56" i="1"/>
  <c r="AC56" i="1" s="1"/>
  <c r="AA204" i="1"/>
  <c r="AC204" i="1" s="1"/>
  <c r="AA165" i="1"/>
  <c r="AC165" i="1" s="1"/>
  <c r="AA175" i="1"/>
  <c r="AC175" i="1" s="1"/>
  <c r="AA89" i="1"/>
  <c r="AC89" i="1" s="1"/>
  <c r="AA51" i="1"/>
  <c r="AC51" i="1" s="1"/>
  <c r="AA50" i="1"/>
  <c r="AC50" i="1" s="1"/>
  <c r="AA132" i="1"/>
  <c r="AC132" i="1" s="1"/>
  <c r="AA239" i="1"/>
  <c r="AC239" i="1" s="1"/>
  <c r="AA16" i="1"/>
  <c r="AC16" i="1" s="1"/>
  <c r="AA141" i="1"/>
  <c r="AC141" i="1" s="1"/>
  <c r="AA138" i="1"/>
  <c r="AC138" i="1" s="1"/>
  <c r="AA46" i="1"/>
  <c r="AD46" i="1" s="1"/>
  <c r="AA171" i="1"/>
  <c r="AC171" i="1" s="1"/>
  <c r="AA169" i="1"/>
  <c r="AC169" i="1" s="1"/>
  <c r="AA199" i="1"/>
  <c r="AC199" i="1" s="1"/>
  <c r="AA14" i="1"/>
  <c r="AC14" i="1" s="1"/>
  <c r="AA64" i="1"/>
  <c r="AC64" i="1" s="1"/>
  <c r="AA191" i="1"/>
  <c r="AC191" i="1" s="1"/>
  <c r="AA238" i="1"/>
  <c r="AC238" i="1" s="1"/>
  <c r="AA150" i="1"/>
  <c r="AD150" i="1" s="1"/>
  <c r="AA155" i="1"/>
  <c r="AC155" i="1" s="1"/>
  <c r="AA87" i="1"/>
  <c r="AC87" i="1" s="1"/>
  <c r="AA162" i="1"/>
  <c r="AC162" i="1" s="1"/>
  <c r="AA77" i="1"/>
  <c r="AC77" i="1" s="1"/>
  <c r="AA203" i="1"/>
  <c r="AC203" i="1" s="1"/>
  <c r="AA29" i="1"/>
  <c r="AC29" i="1" s="1"/>
  <c r="AA91" i="1"/>
  <c r="AC91" i="1" s="1"/>
  <c r="AA185" i="1"/>
  <c r="AC185" i="1" s="1"/>
  <c r="AA149" i="1"/>
  <c r="AC149" i="1" s="1"/>
  <c r="AA11" i="1"/>
  <c r="AC11" i="1" s="1"/>
  <c r="AA140" i="1"/>
  <c r="AC140" i="1" s="1"/>
  <c r="AA188" i="1"/>
  <c r="AC188" i="1" s="1"/>
  <c r="AA200" i="1"/>
  <c r="AC200" i="1" s="1"/>
  <c r="AA58" i="1"/>
  <c r="AC58" i="1" s="1"/>
  <c r="AA119" i="1"/>
  <c r="AC119" i="1" s="1"/>
  <c r="AA129" i="1"/>
  <c r="AC129" i="1" s="1"/>
  <c r="AA82" i="1"/>
  <c r="AC82" i="1" s="1"/>
  <c r="AA62" i="1"/>
  <c r="AC62" i="1" s="1"/>
  <c r="AA43" i="1"/>
  <c r="AC43" i="1" s="1"/>
  <c r="AB148" i="1"/>
  <c r="AB149" i="1"/>
  <c r="AB13" i="1"/>
  <c r="AB65" i="1"/>
  <c r="AB63" i="1"/>
  <c r="AB22" i="1"/>
  <c r="AB121" i="1"/>
  <c r="AB238" i="1"/>
  <c r="AB197" i="1"/>
  <c r="AB49" i="1"/>
  <c r="AB74" i="1"/>
  <c r="AB11" i="1"/>
  <c r="AB140" i="1"/>
  <c r="AB153" i="1"/>
  <c r="AB243" i="1"/>
  <c r="AB109" i="1"/>
  <c r="AB199" i="1"/>
  <c r="AB146" i="1"/>
  <c r="AB167" i="1"/>
  <c r="AB177" i="1"/>
  <c r="AB50" i="1"/>
  <c r="AB119" i="1"/>
  <c r="AB135" i="1"/>
  <c r="AB8" i="1"/>
  <c r="AB221" i="1"/>
  <c r="AB158" i="1"/>
  <c r="AB81" i="1"/>
  <c r="AB82" i="1"/>
  <c r="AB118" i="1"/>
  <c r="AB55" i="1"/>
  <c r="AB43" i="1"/>
  <c r="AB172" i="1"/>
  <c r="AB42" i="1"/>
  <c r="AB58" i="1"/>
  <c r="AB150" i="1"/>
  <c r="AB211" i="1"/>
  <c r="AB78" i="1"/>
  <c r="AB31" i="1"/>
  <c r="AB187" i="1"/>
  <c r="AB80" i="1"/>
  <c r="AB229" i="1"/>
  <c r="AB28" i="1"/>
  <c r="AB207" i="1"/>
  <c r="AB61" i="1"/>
  <c r="AB157" i="1"/>
  <c r="AB111" i="1"/>
  <c r="AB193" i="1"/>
  <c r="AB184" i="1"/>
  <c r="AB161" i="1"/>
  <c r="AB88" i="1"/>
  <c r="AB225" i="1"/>
  <c r="AB91" i="1"/>
  <c r="AB191" i="1"/>
  <c r="AB127" i="1"/>
  <c r="AB106" i="1"/>
  <c r="AB64" i="1"/>
  <c r="AB144" i="1"/>
  <c r="AB57" i="1"/>
  <c r="AB14" i="1"/>
  <c r="AB40" i="1"/>
  <c r="AB125" i="1"/>
  <c r="AB183" i="1"/>
  <c r="AB6" i="1"/>
  <c r="AB175" i="1"/>
  <c r="AB185" i="1"/>
  <c r="AB38" i="1"/>
  <c r="AB77" i="1"/>
  <c r="AB162" i="1"/>
  <c r="AB234" i="1"/>
  <c r="AB129" i="1"/>
  <c r="AB112" i="1"/>
  <c r="AB73" i="1"/>
  <c r="AB165" i="1"/>
  <c r="AB72" i="1"/>
  <c r="AB39" i="1"/>
  <c r="AB202" i="1"/>
  <c r="AB62" i="1"/>
  <c r="AB190" i="1"/>
  <c r="AB218" i="1"/>
  <c r="AB136" i="1"/>
  <c r="AB87" i="1"/>
  <c r="AB120" i="1"/>
  <c r="AB98" i="1"/>
  <c r="AB37" i="1"/>
  <c r="AB169" i="1"/>
  <c r="AB107" i="1"/>
  <c r="AB95" i="1"/>
  <c r="AB163" i="1"/>
  <c r="AB52" i="1"/>
  <c r="AB155" i="1"/>
  <c r="AB142" i="1"/>
  <c r="AB192" i="1"/>
  <c r="AB48" i="1"/>
  <c r="AB56" i="1"/>
  <c r="AB113" i="1"/>
  <c r="AB9" i="1"/>
  <c r="AB101" i="1"/>
  <c r="AB141" i="1"/>
  <c r="AB137" i="1"/>
  <c r="AB16" i="1"/>
  <c r="AB79" i="1"/>
  <c r="AB59" i="1"/>
  <c r="AB35" i="1"/>
  <c r="AB138" i="1"/>
  <c r="AB133" i="1"/>
  <c r="AB231" i="1"/>
  <c r="AB15" i="1"/>
  <c r="AB240" i="1"/>
  <c r="AB102" i="1"/>
  <c r="AB196" i="1"/>
  <c r="AB242" i="1"/>
  <c r="AB60" i="1"/>
  <c r="AB83" i="1"/>
  <c r="AB2" i="1"/>
  <c r="AB204" i="1"/>
  <c r="AB23" i="1"/>
  <c r="AB89" i="1"/>
  <c r="AB45" i="1"/>
  <c r="AB223" i="1"/>
  <c r="AB85" i="1"/>
  <c r="AB29" i="1"/>
  <c r="AB210" i="1"/>
  <c r="AB232" i="1"/>
  <c r="AB188" i="1"/>
  <c r="AB152" i="1"/>
  <c r="AB203" i="1"/>
  <c r="AB208" i="1"/>
  <c r="AB46" i="1"/>
  <c r="AB131" i="1"/>
  <c r="AB124" i="1"/>
  <c r="AB209" i="1"/>
  <c r="AB126" i="1"/>
  <c r="AB224" i="1"/>
  <c r="AB228" i="1"/>
  <c r="AB171" i="1"/>
  <c r="AB216" i="1"/>
  <c r="AB103" i="1"/>
  <c r="AB24" i="1"/>
  <c r="AB239" i="1"/>
  <c r="AB200" i="1"/>
  <c r="AB51" i="1"/>
  <c r="AB54" i="1"/>
  <c r="AB5" i="1"/>
  <c r="AB10" i="1"/>
  <c r="AB178" i="1"/>
  <c r="AB143" i="1"/>
  <c r="AB235" i="1"/>
  <c r="AB12" i="1"/>
  <c r="AB222" i="1"/>
  <c r="AB154" i="1"/>
  <c r="AB71" i="1"/>
  <c r="AB186" i="1"/>
  <c r="AB68" i="1"/>
  <c r="AB220" i="1"/>
  <c r="AB3" i="1"/>
  <c r="AB176" i="1"/>
  <c r="AB237" i="1"/>
  <c r="AB173" i="1"/>
  <c r="AB47" i="1"/>
  <c r="AB122" i="1"/>
  <c r="AB123" i="1"/>
  <c r="AB30" i="1"/>
  <c r="AB33" i="1"/>
  <c r="AB115" i="1"/>
  <c r="AB93" i="1"/>
  <c r="AB215" i="1"/>
  <c r="AB67" i="1"/>
  <c r="AB182" i="1"/>
  <c r="AB134" i="1"/>
  <c r="AB99" i="1"/>
  <c r="AB179" i="1"/>
  <c r="AB189" i="1"/>
  <c r="AB19" i="1"/>
  <c r="AB132" i="1"/>
  <c r="AB32" i="1"/>
  <c r="AB17" i="1"/>
  <c r="AB128" i="1"/>
  <c r="AA8" i="1"/>
  <c r="AC8" i="1" s="1"/>
  <c r="AA28" i="1"/>
  <c r="AC28" i="1" s="1"/>
  <c r="AA61" i="1"/>
  <c r="AC61" i="1" s="1"/>
  <c r="AA184" i="1"/>
  <c r="AC184" i="1" s="1"/>
  <c r="AA88" i="1"/>
  <c r="AC88" i="1" s="1"/>
  <c r="AA127" i="1"/>
  <c r="AD127" i="1" s="1"/>
  <c r="AA106" i="1"/>
  <c r="AC106" i="1" s="1"/>
  <c r="AA57" i="1"/>
  <c r="AC57" i="1" s="1"/>
  <c r="AA40" i="1"/>
  <c r="AC40" i="1" s="1"/>
  <c r="AA183" i="1"/>
  <c r="AC183" i="1" s="1"/>
  <c r="AA112" i="1"/>
  <c r="AC112" i="1" s="1"/>
  <c r="AA39" i="1"/>
  <c r="AC39" i="1" s="1"/>
  <c r="AA202" i="1"/>
  <c r="AC202" i="1" s="1"/>
  <c r="AA190" i="1"/>
  <c r="AC190" i="1" s="1"/>
  <c r="AA136" i="1"/>
  <c r="AC136" i="1" s="1"/>
  <c r="AA120" i="1"/>
  <c r="AC120" i="1" s="1"/>
  <c r="AA163" i="1"/>
  <c r="AC163" i="1" s="1"/>
  <c r="AA9" i="1"/>
  <c r="AC9" i="1" s="1"/>
  <c r="AA101" i="1"/>
  <c r="AC101" i="1" s="1"/>
  <c r="AA35" i="1"/>
  <c r="AC35" i="1" s="1"/>
  <c r="AA133" i="1"/>
  <c r="AC133" i="1" s="1"/>
  <c r="AA102" i="1"/>
  <c r="AD102" i="1" s="1"/>
  <c r="AA196" i="1"/>
  <c r="AD196" i="1" s="1"/>
  <c r="AA242" i="1"/>
  <c r="AC242" i="1" s="1"/>
  <c r="AA60" i="1"/>
  <c r="AC60" i="1" s="1"/>
  <c r="AA2" i="1"/>
  <c r="AC2" i="1" s="1"/>
  <c r="AA23" i="1"/>
  <c r="AC23" i="1" s="1"/>
  <c r="AA45" i="1"/>
  <c r="AC45" i="1" s="1"/>
  <c r="AA223" i="1"/>
  <c r="AC223" i="1" s="1"/>
  <c r="AA85" i="1"/>
  <c r="AC85" i="1" s="1"/>
  <c r="AA210" i="1"/>
  <c r="AC210" i="1" s="1"/>
  <c r="AA232" i="1"/>
  <c r="AC232" i="1" s="1"/>
  <c r="AA131" i="1"/>
  <c r="AC131" i="1" s="1"/>
  <c r="AA124" i="1"/>
  <c r="AC124" i="1" s="1"/>
  <c r="AA209" i="1"/>
  <c r="AC209" i="1" s="1"/>
  <c r="AA224" i="1"/>
  <c r="AC224" i="1" s="1"/>
  <c r="AA228" i="1"/>
  <c r="AD228" i="1" s="1"/>
  <c r="AA24" i="1"/>
  <c r="AC24" i="1" s="1"/>
  <c r="AA10" i="1"/>
  <c r="AC10" i="1" s="1"/>
  <c r="AA71" i="1"/>
  <c r="AC71" i="1" s="1"/>
  <c r="AA186" i="1"/>
  <c r="AC186" i="1" s="1"/>
  <c r="AA3" i="1"/>
  <c r="AC3" i="1" s="1"/>
  <c r="AA176" i="1"/>
  <c r="AC176" i="1" s="1"/>
  <c r="AA237" i="1"/>
  <c r="AC237" i="1" s="1"/>
  <c r="AA47" i="1"/>
  <c r="AC47" i="1" s="1"/>
  <c r="AA33" i="1"/>
  <c r="AC33" i="1" s="1"/>
  <c r="AA215" i="1"/>
  <c r="AC215" i="1" s="1"/>
  <c r="AA182" i="1"/>
  <c r="AC182" i="1" s="1"/>
  <c r="AA99" i="1"/>
  <c r="AC99" i="1" s="1"/>
  <c r="AA179" i="1"/>
  <c r="AC179" i="1" s="1"/>
  <c r="AA65" i="1"/>
  <c r="AC65" i="1" s="1"/>
  <c r="AA22" i="1"/>
  <c r="AC22" i="1" s="1"/>
  <c r="AA49" i="1"/>
  <c r="AC49" i="1" s="1"/>
  <c r="AA74" i="1"/>
  <c r="AC74" i="1" s="1"/>
  <c r="AA153" i="1"/>
  <c r="AC153" i="1" s="1"/>
  <c r="AA177" i="1"/>
  <c r="AC177" i="1" s="1"/>
  <c r="AA128" i="1"/>
  <c r="AD128" i="1" s="1"/>
  <c r="AC12" i="1" l="1"/>
  <c r="AE48" i="1"/>
  <c r="AC127" i="1"/>
  <c r="AE179" i="1"/>
  <c r="AE54" i="1"/>
  <c r="AD48" i="1"/>
  <c r="AE52" i="1"/>
  <c r="AD52" i="1"/>
  <c r="AE146" i="1"/>
  <c r="AE6" i="1"/>
  <c r="AC121" i="1"/>
  <c r="AE225" i="1"/>
  <c r="AC46" i="1"/>
  <c r="AD225" i="1"/>
  <c r="AE19" i="1"/>
  <c r="AE150" i="1"/>
  <c r="AD146" i="1"/>
  <c r="AD13" i="1"/>
  <c r="AD19" i="1"/>
  <c r="AD179" i="1"/>
  <c r="AD54" i="1"/>
  <c r="AE98" i="1"/>
  <c r="AC150" i="1"/>
  <c r="AE13" i="1"/>
  <c r="AE137" i="1"/>
  <c r="AD98" i="1"/>
  <c r="AE193" i="1"/>
  <c r="AE59" i="1"/>
  <c r="AE153" i="1"/>
  <c r="AE152" i="1"/>
  <c r="AE30" i="1"/>
  <c r="AE119" i="1"/>
  <c r="AE102" i="1"/>
  <c r="AD137" i="1"/>
  <c r="AD6" i="1"/>
  <c r="AD193" i="1"/>
  <c r="AD59" i="1"/>
  <c r="AD182" i="1"/>
  <c r="AD153" i="1"/>
  <c r="AD152" i="1"/>
  <c r="AD30" i="1"/>
  <c r="AD119" i="1"/>
  <c r="AE242" i="1"/>
  <c r="AE221" i="1"/>
  <c r="AD242" i="1"/>
  <c r="AE234" i="1"/>
  <c r="AE39" i="1"/>
  <c r="AE14" i="1"/>
  <c r="AE207" i="1"/>
  <c r="AE81" i="1"/>
  <c r="AE49" i="1"/>
  <c r="AE132" i="1"/>
  <c r="AE115" i="1"/>
  <c r="AE50" i="1"/>
  <c r="AD234" i="1"/>
  <c r="AD39" i="1"/>
  <c r="AD14" i="1"/>
  <c r="AD207" i="1"/>
  <c r="AD81" i="1"/>
  <c r="AE182" i="1"/>
  <c r="AD49" i="1"/>
  <c r="AD132" i="1"/>
  <c r="AD115" i="1"/>
  <c r="AD50" i="1"/>
  <c r="AE161" i="1"/>
  <c r="AE16" i="1"/>
  <c r="AE32" i="1"/>
  <c r="AE112" i="1"/>
  <c r="AE106" i="1"/>
  <c r="AE187" i="1"/>
  <c r="AE135" i="1"/>
  <c r="AE121" i="1"/>
  <c r="AE46" i="1"/>
  <c r="AE127" i="1"/>
  <c r="AE12" i="1"/>
  <c r="AD16" i="1"/>
  <c r="AD32" i="1"/>
  <c r="AD112" i="1"/>
  <c r="AD106" i="1"/>
  <c r="AD187" i="1"/>
  <c r="AD135" i="1"/>
  <c r="AE167" i="1"/>
  <c r="AE243" i="1"/>
  <c r="AE45" i="1"/>
  <c r="AE238" i="1"/>
  <c r="AE65" i="1"/>
  <c r="AE131" i="1"/>
  <c r="AE107" i="1"/>
  <c r="AE224" i="1"/>
  <c r="AE87" i="1"/>
  <c r="AE5" i="1"/>
  <c r="AE89" i="1"/>
  <c r="AE215" i="1"/>
  <c r="AE62" i="1"/>
  <c r="AE124" i="1"/>
  <c r="AE203" i="1"/>
  <c r="AE173" i="1"/>
  <c r="AE222" i="1"/>
  <c r="AE175" i="1"/>
  <c r="AE56" i="1"/>
  <c r="AE231" i="1"/>
  <c r="AE60" i="1"/>
  <c r="AE15" i="1"/>
  <c r="AE79" i="1"/>
  <c r="AE74" i="1"/>
  <c r="AE120" i="1"/>
  <c r="AE218" i="1"/>
  <c r="AE38" i="1"/>
  <c r="AE73" i="1"/>
  <c r="AE3" i="1"/>
  <c r="AE42" i="1"/>
  <c r="AE202" i="1"/>
  <c r="AE85" i="1"/>
  <c r="AE101" i="1"/>
  <c r="AE176" i="1"/>
  <c r="AE40" i="1"/>
  <c r="AE235" i="1"/>
  <c r="AE91" i="1"/>
  <c r="AE184" i="1"/>
  <c r="AE61" i="1"/>
  <c r="AE80" i="1"/>
  <c r="AE208" i="1"/>
  <c r="AE2" i="1"/>
  <c r="AE37" i="1"/>
  <c r="AE232" i="1"/>
  <c r="AC196" i="1"/>
  <c r="AC228" i="1"/>
  <c r="AD167" i="1"/>
  <c r="AD243" i="1"/>
  <c r="AD45" i="1"/>
  <c r="AD238" i="1"/>
  <c r="AD65" i="1"/>
  <c r="AD131" i="1"/>
  <c r="AD107" i="1"/>
  <c r="AD224" i="1"/>
  <c r="AD87" i="1"/>
  <c r="AD5" i="1"/>
  <c r="AD89" i="1"/>
  <c r="AD215" i="1"/>
  <c r="AD62" i="1"/>
  <c r="AD124" i="1"/>
  <c r="AD203" i="1"/>
  <c r="AD173" i="1"/>
  <c r="AD222" i="1"/>
  <c r="AD175" i="1"/>
  <c r="AD56" i="1"/>
  <c r="AD231" i="1"/>
  <c r="AD60" i="1"/>
  <c r="AD15" i="1"/>
  <c r="AD79" i="1"/>
  <c r="AD74" i="1"/>
  <c r="AD120" i="1"/>
  <c r="AD218" i="1"/>
  <c r="AD38" i="1"/>
  <c r="AD73" i="1"/>
  <c r="AD3" i="1"/>
  <c r="AD42" i="1"/>
  <c r="AD202" i="1"/>
  <c r="AD85" i="1"/>
  <c r="AD101" i="1"/>
  <c r="AD176" i="1"/>
  <c r="AD40" i="1"/>
  <c r="AD235" i="1"/>
  <c r="AD91" i="1"/>
  <c r="AD184" i="1"/>
  <c r="AD61" i="1"/>
  <c r="AD80" i="1"/>
  <c r="AD208" i="1"/>
  <c r="AD2" i="1"/>
  <c r="AD37" i="1"/>
  <c r="AD232" i="1"/>
  <c r="AE228" i="1"/>
  <c r="AD161" i="1"/>
  <c r="AC102" i="1"/>
  <c r="AC221" i="1"/>
  <c r="AC128" i="1"/>
  <c r="AE199" i="1"/>
  <c r="AE140" i="1"/>
  <c r="AE200" i="1"/>
  <c r="AE22" i="1"/>
  <c r="AE149" i="1"/>
  <c r="AE141" i="1"/>
  <c r="AE93" i="1"/>
  <c r="AE138" i="1"/>
  <c r="AE237" i="1"/>
  <c r="AE77" i="1"/>
  <c r="AE67" i="1"/>
  <c r="AE82" i="1"/>
  <c r="AE29" i="1"/>
  <c r="AE99" i="1"/>
  <c r="AE64" i="1"/>
  <c r="AE186" i="1"/>
  <c r="AE143" i="1"/>
  <c r="AE51" i="1"/>
  <c r="AE148" i="1"/>
  <c r="AE204" i="1"/>
  <c r="AE158" i="1"/>
  <c r="AE17" i="1"/>
  <c r="AE68" i="1"/>
  <c r="AE142" i="1"/>
  <c r="AE211" i="1"/>
  <c r="AE24" i="1"/>
  <c r="AE126" i="1"/>
  <c r="AE189" i="1"/>
  <c r="AE172" i="1"/>
  <c r="AE71" i="1"/>
  <c r="AE72" i="1"/>
  <c r="AE129" i="1"/>
  <c r="AE123" i="1"/>
  <c r="AE183" i="1"/>
  <c r="AE57" i="1"/>
  <c r="AE103" i="1"/>
  <c r="AE88" i="1"/>
  <c r="AE111" i="1"/>
  <c r="AE28" i="1"/>
  <c r="AE31" i="1"/>
  <c r="AE58" i="1"/>
  <c r="AE55" i="1"/>
  <c r="AE122" i="1"/>
  <c r="AE163" i="1"/>
  <c r="AE128" i="1"/>
  <c r="AD199" i="1"/>
  <c r="AD140" i="1"/>
  <c r="AD200" i="1"/>
  <c r="AD22" i="1"/>
  <c r="AD149" i="1"/>
  <c r="AD141" i="1"/>
  <c r="AD93" i="1"/>
  <c r="AD138" i="1"/>
  <c r="AD237" i="1"/>
  <c r="AD77" i="1"/>
  <c r="AD67" i="1"/>
  <c r="AD82" i="1"/>
  <c r="AD29" i="1"/>
  <c r="AD99" i="1"/>
  <c r="AD64" i="1"/>
  <c r="AD186" i="1"/>
  <c r="AD143" i="1"/>
  <c r="AD51" i="1"/>
  <c r="AD148" i="1"/>
  <c r="AD204" i="1"/>
  <c r="AD158" i="1"/>
  <c r="AD17" i="1"/>
  <c r="AD68" i="1"/>
  <c r="AD142" i="1"/>
  <c r="AD211" i="1"/>
  <c r="AD24" i="1"/>
  <c r="AD126" i="1"/>
  <c r="AD189" i="1"/>
  <c r="AD172" i="1"/>
  <c r="AD71" i="1"/>
  <c r="AD72" i="1"/>
  <c r="AD129" i="1"/>
  <c r="AD123" i="1"/>
  <c r="AD183" i="1"/>
  <c r="AD57" i="1"/>
  <c r="AD103" i="1"/>
  <c r="AD88" i="1"/>
  <c r="AD111" i="1"/>
  <c r="AD28" i="1"/>
  <c r="AD31" i="1"/>
  <c r="AD58" i="1"/>
  <c r="AD55" i="1"/>
  <c r="AD122" i="1"/>
  <c r="AD163" i="1"/>
  <c r="AE196" i="1"/>
  <c r="AE177" i="1"/>
  <c r="AE109" i="1"/>
  <c r="AE11" i="1"/>
  <c r="AE197" i="1"/>
  <c r="AE239" i="1"/>
  <c r="AE171" i="1"/>
  <c r="AE169" i="1"/>
  <c r="AE33" i="1"/>
  <c r="AE9" i="1"/>
  <c r="AE220" i="1"/>
  <c r="AE188" i="1"/>
  <c r="AE43" i="1"/>
  <c r="AE162" i="1"/>
  <c r="AE134" i="1"/>
  <c r="AE47" i="1"/>
  <c r="AE165" i="1"/>
  <c r="AE178" i="1"/>
  <c r="AE8" i="1"/>
  <c r="AE63" i="1"/>
  <c r="AE83" i="1"/>
  <c r="AE240" i="1"/>
  <c r="AE192" i="1"/>
  <c r="AE113" i="1"/>
  <c r="AE155" i="1"/>
  <c r="AE190" i="1"/>
  <c r="AE136" i="1"/>
  <c r="AE10" i="1"/>
  <c r="AE133" i="1"/>
  <c r="AE35" i="1"/>
  <c r="AE216" i="1"/>
  <c r="AE210" i="1"/>
  <c r="AE223" i="1"/>
  <c r="AE185" i="1"/>
  <c r="AE125" i="1"/>
  <c r="AE144" i="1"/>
  <c r="AE191" i="1"/>
  <c r="AE209" i="1"/>
  <c r="AE157" i="1"/>
  <c r="AE229" i="1"/>
  <c r="AE78" i="1"/>
  <c r="AE23" i="1"/>
  <c r="AE118" i="1"/>
  <c r="AE154" i="1"/>
  <c r="AE95" i="1"/>
  <c r="AD177" i="1"/>
  <c r="AD109" i="1"/>
  <c r="AD11" i="1"/>
  <c r="AD197" i="1"/>
  <c r="AD239" i="1"/>
  <c r="AD171" i="1"/>
  <c r="AD169" i="1"/>
  <c r="AD33" i="1"/>
  <c r="AD9" i="1"/>
  <c r="AD220" i="1"/>
  <c r="AD188" i="1"/>
  <c r="AD43" i="1"/>
  <c r="AD162" i="1"/>
  <c r="AD134" i="1"/>
  <c r="AD47" i="1"/>
  <c r="AD165" i="1"/>
  <c r="AD178" i="1"/>
  <c r="AD8" i="1"/>
  <c r="AD63" i="1"/>
  <c r="AD83" i="1"/>
  <c r="AD240" i="1"/>
  <c r="AD192" i="1"/>
  <c r="AD113" i="1"/>
  <c r="AD155" i="1"/>
  <c r="AD190" i="1"/>
  <c r="AD136" i="1"/>
  <c r="AD10" i="1"/>
  <c r="AD133" i="1"/>
  <c r="AD35" i="1"/>
  <c r="AD216" i="1"/>
  <c r="AD210" i="1"/>
  <c r="AD223" i="1"/>
  <c r="AD185" i="1"/>
  <c r="AD125" i="1"/>
  <c r="AD144" i="1"/>
  <c r="AD191" i="1"/>
  <c r="AD209" i="1"/>
  <c r="AD157" i="1"/>
  <c r="AD229" i="1"/>
  <c r="AD78" i="1"/>
  <c r="AD23" i="1"/>
  <c r="AD118" i="1"/>
  <c r="AD154" i="1"/>
  <c r="AD95" i="1"/>
  <c r="D5" i="5"/>
  <c r="D6" i="5"/>
  <c r="D7" i="5"/>
  <c r="D8" i="5"/>
  <c r="D9" i="5"/>
  <c r="D10" i="5"/>
  <c r="D11" i="5"/>
  <c r="D12" i="5"/>
  <c r="D13" i="5"/>
  <c r="D14" i="5"/>
  <c r="D15" i="5"/>
  <c r="D4" i="5"/>
  <c r="U32" i="3" l="1"/>
  <c r="U15" i="3"/>
  <c r="U44" i="3"/>
  <c r="U39" i="3"/>
  <c r="U23" i="3"/>
  <c r="U46" i="3"/>
  <c r="U9" i="3"/>
  <c r="U47" i="3"/>
  <c r="U29" i="3"/>
  <c r="U5" i="3"/>
  <c r="U18" i="3"/>
  <c r="U14" i="3"/>
  <c r="U7" i="3"/>
  <c r="U26" i="3"/>
  <c r="U6" i="3"/>
  <c r="U2" i="3"/>
  <c r="U52" i="3"/>
  <c r="U35" i="3"/>
  <c r="U48" i="3"/>
  <c r="U45" i="3"/>
  <c r="U27" i="3"/>
  <c r="U31" i="3"/>
  <c r="U16" i="3"/>
  <c r="U10" i="3"/>
  <c r="U40" i="3"/>
  <c r="U24" i="3"/>
  <c r="U4" i="3"/>
  <c r="U30" i="3"/>
  <c r="U8" i="3"/>
  <c r="U3" i="3"/>
  <c r="U51" i="3"/>
  <c r="U41" i="3"/>
  <c r="U25" i="3"/>
  <c r="U50" i="3"/>
  <c r="U38" i="3"/>
  <c r="U22" i="3"/>
  <c r="U36" i="3"/>
  <c r="U19" i="3"/>
  <c r="U13" i="3"/>
  <c r="U49" i="3"/>
  <c r="U37" i="3"/>
  <c r="U21" i="3"/>
  <c r="U34" i="3"/>
  <c r="U20" i="3"/>
  <c r="U12" i="3"/>
  <c r="U42" i="3"/>
  <c r="U28" i="3"/>
  <c r="U33" i="3"/>
  <c r="U17" i="3"/>
  <c r="U11" i="3"/>
  <c r="U43" i="3"/>
</calcChain>
</file>

<file path=xl/sharedStrings.xml><?xml version="1.0" encoding="utf-8"?>
<sst xmlns="http://schemas.openxmlformats.org/spreadsheetml/2006/main" count="5730" uniqueCount="1559">
  <si>
    <t>name</t>
  </si>
  <si>
    <t>color</t>
  </si>
  <si>
    <t>shipType</t>
  </si>
  <si>
    <t>damage</t>
  </si>
  <si>
    <t>upDamage</t>
  </si>
  <si>
    <t>round</t>
  </si>
  <si>
    <t>speed</t>
  </si>
  <si>
    <t>upSpeed</t>
  </si>
  <si>
    <t>range</t>
  </si>
  <si>
    <t>spread</t>
  </si>
  <si>
    <t>cannon</t>
  </si>
  <si>
    <t>antiair</t>
  </si>
  <si>
    <t>angle</t>
  </si>
  <si>
    <t>ammoType</t>
  </si>
  <si>
    <t>box</t>
  </si>
  <si>
    <t>drop</t>
  </si>
  <si>
    <t>icon</t>
  </si>
  <si>
    <t>白色</t>
  </si>
  <si>
    <t>锁定</t>
  </si>
  <si>
    <t>通常弹</t>
  </si>
  <si>
    <t>威斯克</t>
  </si>
  <si>
    <t>藏王重工</t>
  </si>
  <si>
    <t>蓝色</t>
  </si>
  <si>
    <t>127mm单装炮T1</t>
  </si>
  <si>
    <t>克洛希德</t>
  </si>
  <si>
    <t>127mm单装炮T2</t>
  </si>
  <si>
    <t>紫色</t>
  </si>
  <si>
    <t>高爆弹</t>
  </si>
  <si>
    <t>127mm连装炮T1</t>
  </si>
  <si>
    <t>127mm连装炮T2</t>
  </si>
  <si>
    <t>127mm连装炮T3</t>
  </si>
  <si>
    <t>130mm单装炮Mle1924T1</t>
  </si>
  <si>
    <t>130mm单装炮Mle1924T3</t>
  </si>
  <si>
    <t>130mm单装炮T2</t>
  </si>
  <si>
    <t>138.6mm单装炮Mle1929T1</t>
  </si>
  <si>
    <t>138.6mm单装炮Mle1929T2</t>
  </si>
  <si>
    <t>138.6mm单装炮Mle1929T3</t>
  </si>
  <si>
    <t>金色</t>
  </si>
  <si>
    <t>无</t>
  </si>
  <si>
    <t>140mm单装炮T1</t>
  </si>
  <si>
    <t>140mm单装炮T2</t>
  </si>
  <si>
    <t>140mm单装炮T3</t>
  </si>
  <si>
    <t>140mm连装炮T1</t>
  </si>
  <si>
    <t>散射</t>
  </si>
  <si>
    <t>140mm连装炮T2</t>
  </si>
  <si>
    <t>140mm连装炮T3</t>
  </si>
  <si>
    <t>152mm连装炮T1</t>
  </si>
  <si>
    <t>152mm连装炮T2</t>
  </si>
  <si>
    <t>155mm三连装炮T1</t>
  </si>
  <si>
    <t>203mm连装炮T1</t>
  </si>
  <si>
    <t>203mm连装炮T2</t>
  </si>
  <si>
    <t>203mm连装炮T3</t>
  </si>
  <si>
    <t>305mm连装炮T0</t>
  </si>
  <si>
    <t>跨射</t>
  </si>
  <si>
    <t>356mm连装炮T1</t>
  </si>
  <si>
    <t>356mm连装炮T2</t>
  </si>
  <si>
    <t>356mm连装炮T3</t>
  </si>
  <si>
    <t>410mm连装炮(三式弹)T0</t>
  </si>
  <si>
    <t>410mm连装炮T1</t>
  </si>
  <si>
    <t>410mm连装炮T2</t>
  </si>
  <si>
    <t>76mm火炮T1</t>
  </si>
  <si>
    <t>76mm火炮T2</t>
  </si>
  <si>
    <t>76mm火炮T3</t>
  </si>
  <si>
    <t>三联283mmSKC28主炮T1</t>
  </si>
  <si>
    <t>穿甲弹</t>
  </si>
  <si>
    <t>伯鲁克</t>
  </si>
  <si>
    <t>三联283mmSKC28主炮T2</t>
  </si>
  <si>
    <t>三联283mmSKC28主炮T3</t>
  </si>
  <si>
    <t>三联283mmSKC34主炮T1</t>
  </si>
  <si>
    <t>三联283mmSKC34主炮T2</t>
  </si>
  <si>
    <t>三联283mmSKC34主炮T3</t>
  </si>
  <si>
    <t>三联装102mm副炮T1</t>
  </si>
  <si>
    <t>三联装102mm副炮T2</t>
  </si>
  <si>
    <t>三联装102mm副炮T3</t>
  </si>
  <si>
    <t>三联装152mm主炮Mle1930T1</t>
  </si>
  <si>
    <t>三联装152mm主炮Mle1930T3</t>
  </si>
  <si>
    <t>三联装152mm主炮T1</t>
  </si>
  <si>
    <t>三联装152mm主炮T2</t>
  </si>
  <si>
    <t>三联装152mm主炮T3</t>
  </si>
  <si>
    <t>三联装203mm主炮T1</t>
  </si>
  <si>
    <t>三联装203mm主炮T2</t>
  </si>
  <si>
    <t>三联装203mm主炮T3</t>
  </si>
  <si>
    <t>三联装203mm主炮改进型T1</t>
  </si>
  <si>
    <t>三联装203mm主炮改进型T2</t>
  </si>
  <si>
    <t>三联装356mm主炮T1</t>
  </si>
  <si>
    <t>三联装356mm主炮T2</t>
  </si>
  <si>
    <t>三联装356mm主炮T3</t>
  </si>
  <si>
    <t>三联装406mm主炮T1</t>
  </si>
  <si>
    <t>三联装406mm主炮T2</t>
  </si>
  <si>
    <t>三联装406mm主炮T3</t>
  </si>
  <si>
    <t>三联装SKC25式150mm主炮T1</t>
  </si>
  <si>
    <t>三联装SKC25式150mm主炮T2</t>
  </si>
  <si>
    <t>三联装SKC25式150mm主炮T3</t>
  </si>
  <si>
    <t>单装102mm副炮T1</t>
  </si>
  <si>
    <t>单装102mm副炮T2</t>
  </si>
  <si>
    <t>单装102mm副炮T3</t>
  </si>
  <si>
    <t>单装127mm主炮T1</t>
  </si>
  <si>
    <t>单装127mm主炮T2</t>
  </si>
  <si>
    <t>单装127mm主炮T3</t>
  </si>
  <si>
    <t>单装150mm主炮T1</t>
  </si>
  <si>
    <t>通常</t>
  </si>
  <si>
    <t>单装152mm主炮T1</t>
  </si>
  <si>
    <t>单装152mm副炮T1</t>
  </si>
  <si>
    <t>单装152mm副炮T2</t>
  </si>
  <si>
    <t>单装152mm副炮T3</t>
  </si>
  <si>
    <t>单装SKC28式150mm主炮T1</t>
  </si>
  <si>
    <t>单装SKC28式150mm主炮T2</t>
  </si>
  <si>
    <t>单装SKC28式150mm主炮T3</t>
  </si>
  <si>
    <t>双联100mm98式高射炮T1</t>
  </si>
  <si>
    <t>双联100mm98式高射炮T2</t>
  </si>
  <si>
    <t>双联152mm主炮T1</t>
  </si>
  <si>
    <t>双联152mm主炮T2</t>
  </si>
  <si>
    <t>双联152mm主炮T3</t>
  </si>
  <si>
    <t>双联380mmSKC主炮T1</t>
  </si>
  <si>
    <t>双联380mmSKC主炮T2</t>
  </si>
  <si>
    <t>双联380mmSKC主炮T3</t>
  </si>
  <si>
    <t>双联装102mm副炮T1</t>
  </si>
  <si>
    <t>双联装102mm副炮T2</t>
  </si>
  <si>
    <t>双联装102mm副炮T3</t>
  </si>
  <si>
    <t>双联装120mm主炮T1</t>
  </si>
  <si>
    <t>双联装120mm主炮T2</t>
  </si>
  <si>
    <t>双联装120mm主炮T3</t>
  </si>
  <si>
    <t>双联装128mmSKC41高平两用炮T1</t>
  </si>
  <si>
    <t>双联装128mmSKC41高平两用炮T2</t>
  </si>
  <si>
    <t>双联装128mmSKC41高平两用炮T3</t>
  </si>
  <si>
    <t>双联装130mm主炮Mle1935T1</t>
  </si>
  <si>
    <t>双联装134mm高炮T1</t>
  </si>
  <si>
    <t>双联装134mm高炮T2</t>
  </si>
  <si>
    <t>双联装134mm高炮T3</t>
  </si>
  <si>
    <t>双联装152mm主炮T1</t>
  </si>
  <si>
    <t>双联装152mm主炮T2</t>
  </si>
  <si>
    <t>双联装152mm主炮T3</t>
  </si>
  <si>
    <t>双联装203mmSKC主炮T1</t>
  </si>
  <si>
    <t>双联装203mmSKC主炮T2</t>
  </si>
  <si>
    <t>双联装203mmSKC主炮T3</t>
  </si>
  <si>
    <t>双联装203mm主炮Mle1924(潜艇用)T0</t>
  </si>
  <si>
    <t>双联装203mm主炮T1</t>
  </si>
  <si>
    <t>双联装203mm主炮T2</t>
  </si>
  <si>
    <t>双联装203mm主炮T3</t>
  </si>
  <si>
    <t>双联装381mm主炮T1</t>
  </si>
  <si>
    <t>双联装381mm主炮T2</t>
  </si>
  <si>
    <t>双联装381mm主炮T3</t>
  </si>
  <si>
    <t>双联装TbtsKC36式150mm主炮T1</t>
  </si>
  <si>
    <t>双联装TbtsKC36式150mm主炮T2</t>
  </si>
  <si>
    <t>双联装TbtsKC36式150mm主炮T3</t>
  </si>
  <si>
    <t>四联装130mm副炮Mle1932T0</t>
  </si>
  <si>
    <t>四联装330mm主炮Mle1931T1</t>
  </si>
  <si>
    <t>四联装330mm主炮Mle1931T2</t>
  </si>
  <si>
    <t>四联装330mm主炮Mle1931T3</t>
  </si>
  <si>
    <t>四联装356mm主炮T1</t>
  </si>
  <si>
    <t>四联装356mm主炮T2</t>
  </si>
  <si>
    <t>四联装356mm主炮T3</t>
  </si>
  <si>
    <t>四联装380mm主炮Mle1935T1</t>
  </si>
  <si>
    <t>四联装380mm主炮Mle1935T2</t>
  </si>
  <si>
    <t>四联装380mm主炮Mle1935T3</t>
  </si>
  <si>
    <t>试作型203mm(3号)连装炮T0</t>
  </si>
  <si>
    <t>核心兑换</t>
  </si>
  <si>
    <t>试作型410mm三连装炮T0</t>
  </si>
  <si>
    <t>军部科研室</t>
  </si>
  <si>
    <t>试作型三联装152mm主炮T0</t>
  </si>
  <si>
    <t>试作型三联装152mm高平两用炮Mk17T0</t>
  </si>
  <si>
    <t>试作型三联装203mmSKC主炮T0</t>
  </si>
  <si>
    <t>试作型三联装203mm舰炮T0</t>
  </si>
  <si>
    <t>试作型三联装310mm主炮T0</t>
  </si>
  <si>
    <t>试作型三联装381mm主炮T0</t>
  </si>
  <si>
    <t>试作型双联装406mmSKC主炮T0</t>
  </si>
  <si>
    <t>彩色</t>
  </si>
  <si>
    <t>upDps</t>
    <phoneticPr fontId="1" type="noConversion"/>
  </si>
  <si>
    <t>upDpr</t>
    <phoneticPr fontId="1" type="noConversion"/>
  </si>
  <si>
    <t>accuracy</t>
  </si>
  <si>
    <t>damageType</t>
  </si>
  <si>
    <t>防空</t>
  </si>
  <si>
    <t>102mm高射炮T1</t>
  </si>
  <si>
    <t>102mm高射炮T2</t>
  </si>
  <si>
    <t>102mm高射炮T3</t>
  </si>
  <si>
    <t>12.7mm防空机枪T1</t>
  </si>
  <si>
    <t>克洛希德、威斯克</t>
  </si>
  <si>
    <t>12.7mm防空机枪T2</t>
  </si>
  <si>
    <t>12.7mm防空机枪T3</t>
  </si>
  <si>
    <t>127mm连装高射炮T1</t>
  </si>
  <si>
    <t>127mm连装高射炮T2</t>
  </si>
  <si>
    <t>127mm连装高射炮T3</t>
  </si>
  <si>
    <t>20mm厄利空高射炮T1</t>
  </si>
  <si>
    <t>20mm厄利空高射炮T2</t>
  </si>
  <si>
    <t>20mm厄利空高射炮T3</t>
  </si>
  <si>
    <t>25mm三连装高射机枪T1</t>
  </si>
  <si>
    <t>25mm三连装高射机枪T2</t>
  </si>
  <si>
    <t>25mm三连装高射机枪T3</t>
  </si>
  <si>
    <t>25mm连装高射机枪T1</t>
  </si>
  <si>
    <t>25mm连装高射机枪T2</t>
  </si>
  <si>
    <t>25mm连装高射机枪T3</t>
  </si>
  <si>
    <t>25mm高射机枪T1</t>
  </si>
  <si>
    <t>25mm高射机枪T2</t>
  </si>
  <si>
    <t>25mm高射机枪T3</t>
  </si>
  <si>
    <t>37mm机枪T1</t>
  </si>
  <si>
    <t>37mm机枪T2</t>
  </si>
  <si>
    <t>37mm机枪T3</t>
  </si>
  <si>
    <t>76mm高射炮T1</t>
  </si>
  <si>
    <t>76mm高射炮T2</t>
  </si>
  <si>
    <t>76mm高射炮T3</t>
  </si>
  <si>
    <t>八联装40mm“砰砰”炮T1</t>
  </si>
  <si>
    <t>八联装40mm“砰砰”炮T2</t>
  </si>
  <si>
    <t>八联装40mm“砰砰”炮T3</t>
  </si>
  <si>
    <t>双管20mm厄利空高射炮T1</t>
  </si>
  <si>
    <t>双管20mm厄利空高射炮T2</t>
  </si>
  <si>
    <t>双管20mm厄利空高射炮T3</t>
  </si>
  <si>
    <t>双联105mmSKC高炮T1</t>
  </si>
  <si>
    <t>双联105mmSKC高炮T2</t>
  </si>
  <si>
    <t>双联105mmSKC高炮T3</t>
  </si>
  <si>
    <t>双联37mm手拉机枪T1</t>
  </si>
  <si>
    <t>双联37mm手拉机枪T2</t>
  </si>
  <si>
    <t>双联37mm手拉机枪T3</t>
  </si>
  <si>
    <t>双联37mm高射炮Mle1936T0</t>
  </si>
  <si>
    <t>双联40mm博福斯对空机炮T1</t>
  </si>
  <si>
    <t>双联40mm博福斯对空机炮T2</t>
  </si>
  <si>
    <t>双联40mm博福斯对空机炮T3</t>
  </si>
  <si>
    <t>双联装100mm高炮T3</t>
  </si>
  <si>
    <t>双联装113mm高射炮T1</t>
  </si>
  <si>
    <t>双联装113mm高射炮T2</t>
  </si>
  <si>
    <t>双联装113mm高射炮T3</t>
  </si>
  <si>
    <t>双联装40mm“砰砰”炮T1</t>
  </si>
  <si>
    <t>双联装40mm“砰砰”炮T2</t>
  </si>
  <si>
    <t>双联装40mm“砰砰”炮T3</t>
  </si>
  <si>
    <t>双联装40mm博福斯STAAGT0</t>
  </si>
  <si>
    <t>双联装40mm博福斯海兹梅耶T0</t>
  </si>
  <si>
    <t>四联40mm博福斯对空机炮T1</t>
  </si>
  <si>
    <t>四联40mm博福斯对空机炮T2</t>
  </si>
  <si>
    <t>四联40mm博福斯对空机炮T3</t>
  </si>
  <si>
    <t>四联装20mm MG机枪T1</t>
  </si>
  <si>
    <t>四联装20mm MG机枪T2</t>
  </si>
  <si>
    <t>四联装20mm MG机枪T3</t>
  </si>
  <si>
    <t>四联装28mm“芝加哥钢琴”T1</t>
  </si>
  <si>
    <t>四联装28mm“芝加哥钢琴”T2</t>
  </si>
  <si>
    <t>四联装28mm“芝加哥钢琴”T3</t>
  </si>
  <si>
    <t>四联装40mm“砰砰”炮T1</t>
  </si>
  <si>
    <t>四联装40mm“砰砰”炮T2</t>
  </si>
  <si>
    <t>四联装40mm“砰砰”炮T3</t>
  </si>
  <si>
    <t>毘式40mm连装机枪T1</t>
  </si>
  <si>
    <t>毘式40mm连装机枪T2</t>
  </si>
  <si>
    <t>毘式40mm连装机枪T3</t>
  </si>
  <si>
    <t>试作型五式40mm高射机关炮T0</t>
  </si>
  <si>
    <t>torpedo</t>
  </si>
  <si>
    <t>三联装533mm磁性鱼雷T1</t>
  </si>
  <si>
    <t>雷击</t>
  </si>
  <si>
    <t>声导</t>
  </si>
  <si>
    <t>三联装533mm磁性鱼雷T2</t>
  </si>
  <si>
    <t>三联装533mm磁性鱼雷T3</t>
  </si>
  <si>
    <t>三联装533mm鱼雷T1</t>
  </si>
  <si>
    <t>通用</t>
  </si>
  <si>
    <t>三联装533mm鱼雷T2</t>
  </si>
  <si>
    <t>克洛希德、威斯克、藏王重工</t>
  </si>
  <si>
    <t>三联装533mm鱼雷T3</t>
  </si>
  <si>
    <t>三联装550mm鱼雷T1</t>
  </si>
  <si>
    <t>三联装550mm鱼雷T3</t>
  </si>
  <si>
    <t>三联装610mm鱼雷T1</t>
  </si>
  <si>
    <t>三联装610mm鱼雷T2</t>
  </si>
  <si>
    <t>三联装610mm鱼雷T3</t>
  </si>
  <si>
    <t>五联装533mm磁性鱼雷T1</t>
  </si>
  <si>
    <t>异色格B3、异色格D3、复刻异色格B3、复刻异色格D3</t>
  </si>
  <si>
    <t>五联装533mm磁性鱼雷T2</t>
  </si>
  <si>
    <t>异色格D3、复刻异色格D3</t>
  </si>
  <si>
    <t>五联装533mm磁性鱼雷T3</t>
  </si>
  <si>
    <t>活动兑换</t>
  </si>
  <si>
    <t>五联装533mm鱼雷T1</t>
  </si>
  <si>
    <t>五联装533mm鱼雷T2</t>
  </si>
  <si>
    <t>五联装533mm鱼雷T3</t>
  </si>
  <si>
    <t>双联装550mm鱼雷T1</t>
  </si>
  <si>
    <t>双联装550mm鱼雷T3</t>
  </si>
  <si>
    <t>双联装610mm鱼雷T1</t>
  </si>
  <si>
    <t>双联装610mm鱼雷T2</t>
  </si>
  <si>
    <t>双联装610mm鱼雷T3</t>
  </si>
  <si>
    <t>四联装533mm磁性鱼雷T1</t>
  </si>
  <si>
    <t>四联装533mm磁性鱼雷T2</t>
  </si>
  <si>
    <t>四联装533mm磁性鱼雷T3</t>
  </si>
  <si>
    <t>四联装533mm鱼雷T1</t>
  </si>
  <si>
    <t>四联装533mm鱼雷T2</t>
  </si>
  <si>
    <t>四联装533mm鱼雷T3</t>
  </si>
  <si>
    <t>四联装610mm鱼雷T1</t>
  </si>
  <si>
    <t>四联装610mm鱼雷T2</t>
  </si>
  <si>
    <t>四联装610mm鱼雷T3</t>
  </si>
  <si>
    <t>潜艇用550mm24V鱼雷T1</t>
  </si>
  <si>
    <t>潜艇用550mm24V鱼雷T2</t>
  </si>
  <si>
    <t>潜艇用550mm24V鱼雷T3</t>
  </si>
  <si>
    <t>潜艇用92式潜射鱼雷T1</t>
  </si>
  <si>
    <t>深海潜航新手装备补给箱</t>
  </si>
  <si>
    <t>海域救援</t>
  </si>
  <si>
    <t>潜艇用92式潜射鱼雷T2</t>
  </si>
  <si>
    <t>潜艇用92式潜射鱼雷T3</t>
  </si>
  <si>
    <t>潜艇用95式纯氧鱼雷T2</t>
  </si>
  <si>
    <t>潜艇用95式纯氧鱼雷T3</t>
  </si>
  <si>
    <t>潜艇用G7a鱼雷T1</t>
  </si>
  <si>
    <t>潜艇用G7a鱼雷T2</t>
  </si>
  <si>
    <t>潜艇用G7a鱼雷T3</t>
  </si>
  <si>
    <t>潜艇用G7e声导鱼雷T1</t>
  </si>
  <si>
    <t>潜艇用G7e声导鱼雷T2</t>
  </si>
  <si>
    <t>潜艇用G7e声导鱼雷T3</t>
  </si>
  <si>
    <t>潜艇用Mark14鱼雷T1</t>
  </si>
  <si>
    <t>潜艇用Mark14鱼雷T2</t>
  </si>
  <si>
    <t>潜艇用Mark14鱼雷T3</t>
  </si>
  <si>
    <t>潜艇用Mark16鱼雷T1</t>
  </si>
  <si>
    <t>潜艇用Mark16鱼雷T2</t>
  </si>
  <si>
    <t>潜艇用Mark16鱼雷T3</t>
  </si>
  <si>
    <t>planeType</t>
  </si>
  <si>
    <t>dodge</t>
  </si>
  <si>
    <t>air</t>
  </si>
  <si>
    <t>BF-109T舰载战斗机T1</t>
  </si>
  <si>
    <t>战斗机</t>
  </si>
  <si>
    <t>空战</t>
  </si>
  <si>
    <t>BF-109T舰载战斗机T2</t>
  </si>
  <si>
    <t>BF-109T舰载战斗机T3</t>
  </si>
  <si>
    <t>BTD-1毁灭者T1</t>
  </si>
  <si>
    <t>轰炸机</t>
  </si>
  <si>
    <t>288×2</t>
  </si>
  <si>
    <t>轰炸</t>
  </si>
  <si>
    <t>BTD-1毁灭者T2</t>
  </si>
  <si>
    <t>BTD-1毁灭者T3</t>
  </si>
  <si>
    <t>F2A水牛(萨奇队)T0</t>
  </si>
  <si>
    <t>F2A水牛T1</t>
  </si>
  <si>
    <t>F2A水牛T2</t>
  </si>
  <si>
    <t>F2A水牛T3</t>
  </si>
  <si>
    <t>2-3、传颂之物SP1、铁血音符誓言A2</t>
  </si>
  <si>
    <t>F4F野猫T1</t>
  </si>
  <si>
    <t>F4F野猫T2</t>
  </si>
  <si>
    <t>F4F野猫T3</t>
  </si>
  <si>
    <t>F4U海盗T1</t>
  </si>
  <si>
    <t>F4U海盗T2</t>
  </si>
  <si>
    <t>F4U海盗T3</t>
  </si>
  <si>
    <t>F4U（VF-17“海盗”中队）T0</t>
  </si>
  <si>
    <t>F6F地狱猫T1</t>
  </si>
  <si>
    <t>F6F地狱猫T2</t>
  </si>
  <si>
    <t>F6F地狱猫T3</t>
  </si>
  <si>
    <t>Ju-87C俯冲轰炸机T1</t>
  </si>
  <si>
    <t>Ju-87C俯冲轰炸机T2</t>
  </si>
  <si>
    <t>异色格A3、异色格B2、异色格C3、异色格D2、复刻异色格A3、复刻异色格B2、复刻异色格C3、复刻异色格D2</t>
  </si>
  <si>
    <t>Ju-87C俯冲轰炸机T3</t>
  </si>
  <si>
    <t>Me-155A舰载战斗机T1</t>
  </si>
  <si>
    <t>Me-155A舰载战斗机T2</t>
  </si>
  <si>
    <t>Me-155A舰载战斗机T3</t>
  </si>
  <si>
    <t>异色格D4、复刻异色格D2</t>
  </si>
  <si>
    <t>SB2C地狱俯冲者T1</t>
  </si>
  <si>
    <t>SB2C地狱俯冲者T2</t>
  </si>
  <si>
    <t>SB2C地狱俯冲者T3</t>
  </si>
  <si>
    <t>SBD无畏(麦克拉斯基队)T0</t>
  </si>
  <si>
    <t>SBD无畏T1</t>
  </si>
  <si>
    <t>SBD无畏T2</t>
  </si>
  <si>
    <t>SBD无畏T3</t>
  </si>
  <si>
    <t>TBD蹂躏者(VT-8中队)T0</t>
  </si>
  <si>
    <t>鱼雷机</t>
  </si>
  <si>
    <t>116×2</t>
  </si>
  <si>
    <t>296×2</t>
  </si>
  <si>
    <t>TBD蹂躏者T1</t>
  </si>
  <si>
    <t>90×2</t>
  </si>
  <si>
    <t>132×2</t>
  </si>
  <si>
    <t>TBD蹂躏者T2</t>
  </si>
  <si>
    <t>96×2</t>
  </si>
  <si>
    <t>144×2</t>
  </si>
  <si>
    <t>TBD蹂躏者T3</t>
  </si>
  <si>
    <t>108×2</t>
  </si>
  <si>
    <t>215×2</t>
  </si>
  <si>
    <t>TBF复仇者T1</t>
  </si>
  <si>
    <t>90×3</t>
  </si>
  <si>
    <t>132×3</t>
  </si>
  <si>
    <t>TBF复仇者T2</t>
  </si>
  <si>
    <t>96×3</t>
  </si>
  <si>
    <t>192×3</t>
  </si>
  <si>
    <t>TBF复仇者T3</t>
  </si>
  <si>
    <t>108×3</t>
  </si>
  <si>
    <t>288×3</t>
  </si>
  <si>
    <t>XF5F天箭T0</t>
  </si>
  <si>
    <t>九七式舰攻T1</t>
  </si>
  <si>
    <t>40×2</t>
  </si>
  <si>
    <t>88×2</t>
  </si>
  <si>
    <t>九七式舰攻T2</t>
  </si>
  <si>
    <t>44×2</t>
  </si>
  <si>
    <t>97×2</t>
  </si>
  <si>
    <t>九九式舰爆T1</t>
  </si>
  <si>
    <t>九九式舰爆T2</t>
  </si>
  <si>
    <t>九九式舰爆T3</t>
  </si>
  <si>
    <t>九六式舰战T1</t>
  </si>
  <si>
    <t>九六式舰战T2</t>
  </si>
  <si>
    <t>九六式舰战T3</t>
  </si>
  <si>
    <t>剑鱼(818中队)T0</t>
  </si>
  <si>
    <t>99×3</t>
  </si>
  <si>
    <t>264×3</t>
  </si>
  <si>
    <t>剑鱼T1</t>
  </si>
  <si>
    <t>剑鱼T2</t>
  </si>
  <si>
    <t>192×2</t>
  </si>
  <si>
    <t>剑鱼T3</t>
  </si>
  <si>
    <t>7-1、努力希望计划SP1、光荣的一战SP2、凛冬王冠B2、凛冬王冠D2、传颂之物SP3、铁血音符誓言A3、铁血音符誓言C3</t>
  </si>
  <si>
    <t>天山T1</t>
  </si>
  <si>
    <t>40×3</t>
  </si>
  <si>
    <t>88×3</t>
  </si>
  <si>
    <t>天山T2</t>
  </si>
  <si>
    <t>44×3</t>
  </si>
  <si>
    <t>150×3</t>
  </si>
  <si>
    <t>天山T3</t>
  </si>
  <si>
    <t>48×3</t>
  </si>
  <si>
    <t>240×3</t>
  </si>
  <si>
    <t>彗星T1</t>
  </si>
  <si>
    <t>彗星T2</t>
  </si>
  <si>
    <t>彗星T3</t>
  </si>
  <si>
    <t>晴岚T0</t>
  </si>
  <si>
    <t>水上机</t>
  </si>
  <si>
    <t>梭鱼(831中队)T0</t>
  </si>
  <si>
    <t>梭鱼T1</t>
  </si>
  <si>
    <t>174×3</t>
  </si>
  <si>
    <t>梭鱼T2</t>
  </si>
  <si>
    <t>256×3</t>
  </si>
  <si>
    <t>梭鱼T3</t>
  </si>
  <si>
    <t>流星T1</t>
  </si>
  <si>
    <t>红染A2、红染C2</t>
  </si>
  <si>
    <t>流星T2</t>
  </si>
  <si>
    <t>流星T3</t>
  </si>
  <si>
    <t>52×3</t>
  </si>
  <si>
    <t>260×3</t>
  </si>
  <si>
    <t>海喷火T1</t>
  </si>
  <si>
    <t>海喷火T2</t>
  </si>
  <si>
    <t>海喷火T3</t>
  </si>
  <si>
    <t>7-1、光荣的一战SP2、传颂之物SP3、虚拟链接的共时性Black-SP、铁血音符誓言A3、铁血音符誓言C3</t>
  </si>
  <si>
    <t>海怒T0</t>
  </si>
  <si>
    <t>海斗士T1</t>
  </si>
  <si>
    <t>海斗士T2</t>
  </si>
  <si>
    <t>海斗士T3</t>
  </si>
  <si>
    <t>光荣的一战SP2</t>
  </si>
  <si>
    <t>海毒牙T1</t>
  </si>
  <si>
    <t>海毒牙T2</t>
  </si>
  <si>
    <t>海毒牙T3</t>
  </si>
  <si>
    <t>铅色SP2、凛冬王冠D2</t>
  </si>
  <si>
    <t>海燕T1</t>
  </si>
  <si>
    <t>海燕T2</t>
  </si>
  <si>
    <t>海燕T3</t>
  </si>
  <si>
    <t>火把T0</t>
  </si>
  <si>
    <t>烈风T1</t>
  </si>
  <si>
    <t>红染A1、红染C1</t>
  </si>
  <si>
    <t>烈风T2</t>
  </si>
  <si>
    <t>烈风T3</t>
  </si>
  <si>
    <t>红染D2、复刻红染D2</t>
  </si>
  <si>
    <t>瑞云T1</t>
  </si>
  <si>
    <t>瑞云T2</t>
  </si>
  <si>
    <t>红染A3</t>
  </si>
  <si>
    <t>瑞云T3</t>
  </si>
  <si>
    <t>萤火虫T0</t>
  </si>
  <si>
    <t>贼鸥T1</t>
  </si>
  <si>
    <t>贼鸥T2</t>
  </si>
  <si>
    <t>贼鸥T3</t>
  </si>
  <si>
    <t>2-3、传颂之物SP1、铁血音符誓言A3</t>
  </si>
  <si>
    <t>零战二一型T1</t>
  </si>
  <si>
    <t>零战二一型T2</t>
  </si>
  <si>
    <t>零战二一型T3</t>
  </si>
  <si>
    <t>零战五二型T1</t>
  </si>
  <si>
    <t>零战五二型T2</t>
  </si>
  <si>
    <t>零战五二型T3</t>
  </si>
  <si>
    <t>潜艇</t>
  </si>
  <si>
    <t>舰炮种类</t>
    <phoneticPr fontId="1" type="noConversion"/>
  </si>
  <si>
    <t>舰炮vs护甲</t>
    <phoneticPr fontId="1" type="noConversion"/>
  </si>
  <si>
    <t>驱逐炮</t>
    <phoneticPr fontId="1" type="noConversion"/>
  </si>
  <si>
    <t>轻巡炮</t>
    <phoneticPr fontId="1" type="noConversion"/>
  </si>
  <si>
    <t>重巡炮</t>
    <phoneticPr fontId="1" type="noConversion"/>
  </si>
  <si>
    <t>战列炮</t>
    <phoneticPr fontId="1" type="noConversion"/>
  </si>
  <si>
    <t>通常弹</t>
    <phoneticPr fontId="1" type="noConversion"/>
  </si>
  <si>
    <t>高爆弹</t>
    <phoneticPr fontId="1" type="noConversion"/>
  </si>
  <si>
    <t>穿甲弹</t>
    <phoneticPr fontId="1" type="noConversion"/>
  </si>
  <si>
    <t>弹药类型</t>
    <phoneticPr fontId="1" type="noConversion"/>
  </si>
  <si>
    <t>中甲</t>
    <phoneticPr fontId="1" type="noConversion"/>
  </si>
  <si>
    <t>舰炮+弹药</t>
    <phoneticPr fontId="1" type="noConversion"/>
  </si>
  <si>
    <t>轻甲</t>
    <phoneticPr fontId="1" type="noConversion"/>
  </si>
  <si>
    <t>重甲</t>
    <phoneticPr fontId="1" type="noConversion"/>
  </si>
  <si>
    <t>vs中甲dps</t>
    <phoneticPr fontId="1" type="noConversion"/>
  </si>
  <si>
    <t>vs重甲dps</t>
    <phoneticPr fontId="1" type="noConversion"/>
  </si>
  <si>
    <t>attr1</t>
  </si>
  <si>
    <t>attr2</t>
  </si>
  <si>
    <t>attr3</t>
  </si>
  <si>
    <t>attr4</t>
  </si>
  <si>
    <t>attr5</t>
  </si>
  <si>
    <t>attr6</t>
  </si>
  <si>
    <t>attr7</t>
  </si>
  <si>
    <t>attr8</t>
  </si>
  <si>
    <t>skill</t>
  </si>
  <si>
    <t>航空初始：28强满：70</t>
  </si>
  <si>
    <t>-</t>
  </si>
  <si>
    <t>http://p0.qhimg.com/dr/30__/t01baeba7ad881bde77.jpg</t>
  </si>
  <si>
    <t>94式高射装置T0</t>
  </si>
  <si>
    <t>驱逐</t>
  </si>
  <si>
    <t>防空初始：22强满：55</t>
  </si>
  <si>
    <t>命中初始：4强满：10</t>
  </si>
  <si>
    <t>http://p8.qhimg.com/dr/30__/t01c8bc17cc82838b4b.jpg</t>
  </si>
  <si>
    <t>Fl-282直升机T0</t>
  </si>
  <si>
    <t>轻巡</t>
  </si>
  <si>
    <t>反潜初始：9强满：24</t>
  </si>
  <si>
    <t>SG雷达T1</t>
  </si>
  <si>
    <t>命中初始：6强满：11</t>
  </si>
  <si>
    <t>机动初始：2强满：5</t>
  </si>
  <si>
    <t>提供了极其优秀的侦查，受到伏击概率降低5%，规避伏击概率提高8%，效果不可叠加。</t>
  </si>
  <si>
    <t>http://p7.qhimg.com/dr/30__/t0146d160a805ff97b1.jpg</t>
  </si>
  <si>
    <t>SG雷达T2</t>
  </si>
  <si>
    <t>命中初始：9强满：24</t>
  </si>
  <si>
    <t>机动初始：4强满：10</t>
  </si>
  <si>
    <t>提供了极其优秀的侦查，受到伏击概率降低8%，规避伏击概率提高8%，效果不可叠加。</t>
  </si>
  <si>
    <t>6-1、7-4、坠落之翼A2、坠落之翼C2、11-2、光与影的鸢尾之华D1、光与影的鸢尾之华B1、虚拟链接的共时性SP3、复刻光与影的鸢尾之华B1、复刻光与影的鸢尾之华D1</t>
  </si>
  <si>
    <t>http://p7.qhimg.com/dr/30__/t01b2dddb036fd8929a.jpg</t>
  </si>
  <si>
    <t>SG雷达T3</t>
  </si>
  <si>
    <t>命中初始：14强满：35</t>
  </si>
  <si>
    <t>机动初始：6强满：15</t>
  </si>
  <si>
    <t>提供了极其优秀的侦查，受到伏击概率降低12%，规避伏击概率提高12%，效果不可叠加。</t>
  </si>
  <si>
    <t>6-1、10-2、坠落之翼C2、光与影的鸢尾之华D1、复刻坠落之翼C2、复刻光与影的鸢尾之华D1</t>
  </si>
  <si>
    <t>http://p1.qhimg.com/dr/30__/t013a3269d3bb41ed9f.jpg</t>
  </si>
  <si>
    <t>TBM-3复仇者(反潜)T1</t>
  </si>
  <si>
    <t>轻航</t>
  </si>
  <si>
    <t>伤害初始：25×1强满：31×1</t>
  </si>
  <si>
    <t>反潜5</t>
  </si>
  <si>
    <t>标准射速初始：4.12s/轮强满：3.92s/轮</t>
  </si>
  <si>
    <t>空投深弹-范围up</t>
  </si>
  <si>
    <t>TBM-3复仇者(反潜)T2</t>
  </si>
  <si>
    <t>伤害初始：30×1强满：48×1</t>
  </si>
  <si>
    <t>反潜12</t>
  </si>
  <si>
    <t>标准射速初始：3.99s/轮强满：3.51s/轮</t>
  </si>
  <si>
    <t>TBM-3复仇者(反潜)T3</t>
  </si>
  <si>
    <t>伤害初始：36×1强满：72×1</t>
  </si>
  <si>
    <t>反潜25</t>
  </si>
  <si>
    <t>标准射速初始：3.86s/轮强满：2.86s/轮</t>
  </si>
  <si>
    <t>Z旗T0</t>
  </si>
  <si>
    <t>幸运5</t>
  </si>
  <si>
    <t>Z字旗：自身暴击率提高5%，特定角色装备时，获得额外效果。【三笠（正义之Z）：全体炮击、命中提高5%】</t>
  </si>
  <si>
    <t>http://p9.qhimg.com/dr/30__/t01f0bfe44a8b797967.jpg</t>
  </si>
  <si>
    <t>“宁海号”水上侦察机T0</t>
  </si>
  <si>
    <t>命中初始：15强满：35</t>
  </si>
  <si>
    <t>空中侦查：放出宁海号进行侦查，受到伏击概率降低8%，规避伏击概率提高8%，效果不可叠加</t>
  </si>
  <si>
    <t>铅色SP3三星奖励</t>
  </si>
  <si>
    <t>http://p7.qhimg.com/dr/30__/t01f75ca25f7e28dc50.jpg</t>
  </si>
  <si>
    <t>一式穿甲弹T0</t>
  </si>
  <si>
    <t>炮击初始：22强满：55</t>
  </si>
  <si>
    <t>命中初始：6强满：15</t>
  </si>
  <si>
    <t>一式穿甲弹：主炮炮击的暴击伤害提升25%</t>
  </si>
  <si>
    <t>http://p1.qhimg.com/dr/30__/t01e50ff9c02846b96a.jpg</t>
  </si>
  <si>
    <t>九一式穿甲弹T0</t>
  </si>
  <si>
    <t>炮击初始：14强满：35</t>
  </si>
  <si>
    <t>九一式穿甲弹：主炮炮击的暴击伤害提升15%</t>
  </si>
  <si>
    <t>http://p8.qhimg.com/dr/30__/t018c38b792001f6925.jpg</t>
  </si>
  <si>
    <t>九三式纯氧鱼雷T1</t>
  </si>
  <si>
    <t>雷击初始：18强满：45</t>
  </si>
  <si>
    <t>装填初始：3强满：10</t>
  </si>
  <si>
    <t>异色格B2、异色格D2、七夕Sp1、红染C1、红染A1</t>
  </si>
  <si>
    <t>http://p1.qhimg.com/dr/30__/t01246b47559ca84226.jpg</t>
  </si>
  <si>
    <t>九三式纯氧鱼雷T2</t>
  </si>
  <si>
    <t>雷击初始：28强满：70</t>
  </si>
  <si>
    <t>异色格D2、红染C1</t>
  </si>
  <si>
    <t>http://p3.qhimg.com/dr/30__/t0185ecf5f27ddd081d.jpg</t>
  </si>
  <si>
    <t>九三式纯氧鱼雷T3</t>
  </si>
  <si>
    <t>雷击初始：40强满：100</t>
  </si>
  <si>
    <t>http://p7.qhimg.com/dr/30__/t010c41ce61138711b5.jpg</t>
  </si>
  <si>
    <t>九八式射击延迟装置T0</t>
  </si>
  <si>
    <t>炮击初始：12强满：32</t>
  </si>
  <si>
    <t>延时射击：自身装备的主炮散布范围降低2点</t>
  </si>
  <si>
    <t>http://p7.qhimg.com/dr/30__/t01193ab41d3cbda5bd.jpg</t>
  </si>
  <si>
    <t>剑鱼Mark II-ASV(反潜)T1</t>
  </si>
  <si>
    <t>伤害初始：28×1强满：35×1</t>
  </si>
  <si>
    <t>标准射速初始：4.52s/轮强满：4.28s/轮</t>
  </si>
  <si>
    <t>空投深弹-标准</t>
  </si>
  <si>
    <t>剑鱼Mark II-ASV(反潜)T2</t>
  </si>
  <si>
    <t>伤害初始：34×1强满：52×1</t>
  </si>
  <si>
    <t>标准射速初始：4.32s/轮强满：3.76s/轮</t>
  </si>
  <si>
    <t>剑鱼Mark II-ASV(反潜)T3</t>
  </si>
  <si>
    <t>伤害初始：42*1强满：84*1</t>
  </si>
  <si>
    <t>标准射速初始：4.12s/轮强满：3.06s/轮</t>
  </si>
  <si>
    <t>碧蓝海事局复刻异色格活动攻略、复刻异色格PT兑换</t>
  </si>
  <si>
    <t>基础声呐T1</t>
  </si>
  <si>
    <t>反潜初始：1强满：4</t>
  </si>
  <si>
    <t>命中初始：1强满：3</t>
  </si>
  <si>
    <t>搜索周期5</t>
  </si>
  <si>
    <t>搜索范围45</t>
  </si>
  <si>
    <t>http://p6.qhimg.com/dr/30__/t01a8f753444de3f410.jpg</t>
  </si>
  <si>
    <t>基础声呐T2</t>
  </si>
  <si>
    <t>反潜初始：3强满：9</t>
  </si>
  <si>
    <t>命中初始：2强满：5</t>
  </si>
  <si>
    <t>http://p4.qhimg.com/dr/30__/t01b47affbcf2805527.jpg</t>
  </si>
  <si>
    <t>基础声呐T3</t>
  </si>
  <si>
    <t>反潜初始：5强满：18</t>
  </si>
  <si>
    <t>命中初始：4强满：9</t>
  </si>
  <si>
    <t>搜索周期4.5</t>
  </si>
  <si>
    <t>http://p1.qhimg.com/dr/30__/t015db53048d2559a25.jpg</t>
  </si>
  <si>
    <t>基础深弹投射器T1</t>
  </si>
  <si>
    <t>伤害初始：31×1强满：40×1</t>
  </si>
  <si>
    <t>反潜初始：强满：</t>
  </si>
  <si>
    <t>标准射速初始：4.52s/轮强满：4.36s/轮</t>
  </si>
  <si>
    <t>射角360</t>
  </si>
  <si>
    <t>射程18</t>
  </si>
  <si>
    <t>散布范围5</t>
  </si>
  <si>
    <t>弹药通常</t>
  </si>
  <si>
    <t>http://p0.qhimg.com/dr/30__/t0153a9c4dc1aa352e0.jpg</t>
  </si>
  <si>
    <t>基础深弹投射器T2</t>
  </si>
  <si>
    <t>伤害初始：38×1强满：48×1</t>
  </si>
  <si>
    <t>标准射速初始：4.39s/轮强满：4.19s/轮</t>
  </si>
  <si>
    <t>http://p9.qhimg.com/dr/30__/t017d1cc8b915d1291c.jpg</t>
  </si>
  <si>
    <t>基础深弹投射器T3</t>
  </si>
  <si>
    <t>伤害初始：45×1强满：73×1</t>
  </si>
  <si>
    <t>标准射速初始：4.26s/轮强满：3.78s/轮</t>
  </si>
  <si>
    <t>http://p3.qhimg.com/dr/30__/t01c6b716d6e017422a.jpg</t>
  </si>
  <si>
    <t>对空雷达T1</t>
  </si>
  <si>
    <t>防空初始：10强满：14</t>
  </si>
  <si>
    <t>http://p6.qhimg.com/dr/30__/t0145aa9e144533617e.jpg</t>
  </si>
  <si>
    <t>对空雷达T2</t>
  </si>
  <si>
    <t>防空初始：18强满：34</t>
  </si>
  <si>
    <t>http://p0.qhimg.com/dr/30__/t0162296fcaef286810.jpg</t>
  </si>
  <si>
    <t>对空雷达T3</t>
  </si>
  <si>
    <t>防空初始：28强满：70</t>
  </si>
  <si>
    <t>2-3、2-4、坠落之翼A2、坠落之翼C2、异色格B2、异色格D2、复刻异色格B2、复刻异色格D2</t>
  </si>
  <si>
    <t>http://p1.qhimg.com/dr/30__/t0132d0307652787ebe.jpg</t>
  </si>
  <si>
    <t>小海狸中队队徽T1</t>
  </si>
  <si>
    <t>机动初始：14强满：35</t>
  </si>
  <si>
    <t>耐久初始：25强满：75</t>
  </si>
  <si>
    <t>小海狸中队：全队航速提高20%</t>
  </si>
  <si>
    <t>查尔斯·奥斯本、撒切尔、奥利克、富特、斯彭斯</t>
  </si>
  <si>
    <t>http://p1.qhimg.com/dr/30__/t019a98df892b79587d.jpg</t>
  </si>
  <si>
    <t>归航信标T0</t>
  </si>
  <si>
    <t>航空初始：18强满：60</t>
  </si>
  <si>
    <t>归航引导：空中支援加载时间缩短4%。</t>
  </si>
  <si>
    <t>http://p9.qhimg.com/dr/30__/t01a1878dcff706d047.jpg</t>
  </si>
  <si>
    <t>改良型水下进气管T0</t>
  </si>
  <si>
    <t>氧气初始：34强满：85</t>
  </si>
  <si>
    <t>改良声呐T1</t>
  </si>
  <si>
    <t>反潜初始：4强满：10</t>
  </si>
  <si>
    <t>命中初始：3强满：6</t>
  </si>
  <si>
    <t>搜索周期4</t>
  </si>
  <si>
    <t>搜索范围48</t>
  </si>
  <si>
    <t>http://p0.qhimg.com/dr/30__/t0188c397b45e0fe5de.jpg</t>
  </si>
  <si>
    <t>改良声呐T2</t>
  </si>
  <si>
    <t>命中初始：5强满：10</t>
  </si>
  <si>
    <t>搜索周期3.8</t>
  </si>
  <si>
    <t>http://p4.qhimg.com/dr/30__/t01749130aa0e34c763.jpg</t>
  </si>
  <si>
    <t>改良声呐T3</t>
  </si>
  <si>
    <t>反潜初始：14强满：35</t>
  </si>
  <si>
    <t>命中初始：7强满：12</t>
  </si>
  <si>
    <t>搜索周期3.5</t>
  </si>
  <si>
    <t>http://p8.qhimg.com/dr/30__/t01416c50beeab53b47.jpg</t>
  </si>
  <si>
    <t>改良深弹投射器T1</t>
  </si>
  <si>
    <t>伤害初始：41×1强满：52×1</t>
  </si>
  <si>
    <t>射速初始：4.32s/轮强满：4.12s/轮</t>
  </si>
  <si>
    <t>射程20</t>
  </si>
  <si>
    <t>散布范围6</t>
  </si>
  <si>
    <t>http://p1.qhimg.com/dr/30__/t01f88823b24aef3241.jpg</t>
  </si>
  <si>
    <t>改良深弹投射器T2</t>
  </si>
  <si>
    <t>伤害初始：48×1强满：78×1</t>
  </si>
  <si>
    <t>射速初始：4.16/轮强满：3.68/轮</t>
  </si>
  <si>
    <t>http://p4.qhimg.com/dr/30__/t01d70579f8394a81fc.jpg</t>
  </si>
  <si>
    <t>改良深弹投射器T3</t>
  </si>
  <si>
    <t>伤害初始：55×1强满：120x1</t>
  </si>
  <si>
    <t>标准射速初始：3.99s/轮强满：2.99s/轮</t>
  </si>
  <si>
    <t>http://p7.qhimg.com/dr/30__/t019e514d8d0f9c7758.jpg</t>
  </si>
  <si>
    <t>改良蓄电池阵列T0</t>
  </si>
  <si>
    <t>机动初始：2强满：15</t>
  </si>
  <si>
    <t>远洋巡航II：该角色的狩猎范围等级+1(该装备强化+10时，效果提升为狩猎范围等级+2)</t>
  </si>
  <si>
    <t>改良锅炉T1</t>
  </si>
  <si>
    <t>耐久初始：35强满：50</t>
  </si>
  <si>
    <t>航速1</t>
  </si>
  <si>
    <t>http://p5.qhimg.com/dr/30__/t01af0b7ff938bd8327.jpg</t>
  </si>
  <si>
    <t>改良锅炉T2</t>
  </si>
  <si>
    <t>耐久初始：63强满：119</t>
  </si>
  <si>
    <t>航速初始：2强满：4</t>
  </si>
  <si>
    <t>http://p4.qhimg.com/dr/30__/t0151217834a9de733b.jpg</t>
  </si>
  <si>
    <t>改良锅炉T3</t>
  </si>
  <si>
    <t>耐久初始：98强满：245</t>
  </si>
  <si>
    <t>航速初始：3强满：8</t>
  </si>
  <si>
    <t>5-1、9-1、红染C2、红染A2、坠落之翼C1、围剿SP1、异次元SP3、凛冬王冠B3、光与影的鸢尾之华C3、光与影的鸢尾之华A3、传颂之物SP4、苍红的回响B2、苍红的回响D2、复刻光与影的鸢尾之华A3、复刻光与影的鸢尾之华C3</t>
  </si>
  <si>
    <t>http://p4.qhimg.com/dr/30__/t0110f23f90954a5e29.jpg</t>
  </si>
  <si>
    <t>晃悠悠T0</t>
  </si>
  <si>
    <t>耐久初始：200强满：500</t>
  </si>
  <si>
    <t>幸运初始：1强满：2</t>
  </si>
  <si>
    <t>晃悠悠：装备后，视作KizunaAI阵营（原阵营同样生效）</t>
  </si>
  <si>
    <t>http://p8.qhimg.com/dr/30__/t01f55dd3c513bc7f14.jpg</t>
  </si>
  <si>
    <t>智慧模块T0</t>
  </si>
  <si>
    <t>智慧模块：任意KizunaAI装备时，改变自律移动轨迹，不影响演习战斗（绊爱联动活动结束后装备技能失效，数值依旧有用）随着病毒危机的解除（KizunaAI联动活动结束），这件装备失去了特殊效果。</t>
  </si>
  <si>
    <t>http://p3.qhimg.com/dr/30__/t01323b97d33c9f9da2.jpg</t>
  </si>
  <si>
    <t>治愈系猫爪T1</t>
  </si>
  <si>
    <t>维修</t>
  </si>
  <si>
    <t>耐久初始：120强满：300</t>
  </si>
  <si>
    <t>喵喵治愈：明石装备时生效)所有治疗效果提高20%，不可叠加</t>
  </si>
  <si>
    <t>明石获取任务</t>
  </si>
  <si>
    <t>http://p9.qhimg.com/dr/30__/t01346d7981ca2aa5a6.jpg</t>
  </si>
  <si>
    <t>海军迷彩T1</t>
  </si>
  <si>
    <t>机动初始：2强满：3</t>
  </si>
  <si>
    <t>耐久初始：14强满：20</t>
  </si>
  <si>
    <t>http://p2.qhimg.com/dr/30__/t014298de17fe015899.jpg</t>
  </si>
  <si>
    <t>海军迷彩T2</t>
  </si>
  <si>
    <t>机动初始：5强满：7</t>
  </si>
  <si>
    <t>耐久初始：16强满：25</t>
  </si>
  <si>
    <t>http://p0.qhimg.com/dr/30__/t011682a75ba3551bba.jpg</t>
  </si>
  <si>
    <t>海军迷彩T3</t>
  </si>
  <si>
    <t>机动初始：9强满：17</t>
  </si>
  <si>
    <t>耐久初始：20强满：44</t>
  </si>
  <si>
    <t>http://p7.qhimg.com/dr/30__/t015eefe96f7a70acf7.jpg</t>
  </si>
  <si>
    <t>液压弹射装置T1</t>
  </si>
  <si>
    <t>航空初始：18强满：34</t>
  </si>
  <si>
    <t>耐久初始：18强满：36</t>
  </si>
  <si>
    <t>http://p2.qhimg.com/dr/30__/t01b853ed6febae43f3.jpg</t>
  </si>
  <si>
    <t>液压弹射装置T2</t>
  </si>
  <si>
    <t>耐久初始：20强满：60</t>
  </si>
  <si>
    <t>3-2、7-2、坠落之翼B3、异次元SP2、11-1、复刻异色格B4、复刻异色格D4、虚拟链接的共时性SP2、铁血音符誓言A2、铁血音符誓言C2</t>
  </si>
  <si>
    <t>http://p0.qhimg.com/dr/30__/t01413a94a035512e23.jpg</t>
  </si>
  <si>
    <t>液压弹射装置T3</t>
  </si>
  <si>
    <t>航空初始：40强满：100</t>
  </si>
  <si>
    <t>坠落之翼D3、墨染D2、复刻坠落之翼D3、复刻墨染D2</t>
  </si>
  <si>
    <t>http://p2.qhimg.com/dr/30__/t012ef210fc33fc217f.jpg</t>
  </si>
  <si>
    <t>液压舵机T1</t>
  </si>
  <si>
    <t>http://p8.qhimg.com/dr/30__/t01b2948d0e2a3f8587.jpg</t>
  </si>
  <si>
    <t>液压舵机T2</t>
  </si>
  <si>
    <t>http://p7.qhimg.com/dr/30__/t01a77826b8f00b989c.jpg</t>
  </si>
  <si>
    <t>液压舵机T3</t>
  </si>
  <si>
    <t>2-1、异次元SP1、铁血音符誓言A2</t>
  </si>
  <si>
    <t>http://p2.qhimg.com/dr/30__/t0193735be3135b4847.jpg</t>
  </si>
  <si>
    <t>火控雷达T1</t>
  </si>
  <si>
    <t>命中初始：3强满：5</t>
  </si>
  <si>
    <t>炮击初始：3强满：4</t>
  </si>
  <si>
    <t>http://p7.qhimg.com/dr/30__/t015755054cde0e4d40.jpg</t>
  </si>
  <si>
    <t>火控雷达T2</t>
  </si>
  <si>
    <t>炮击初始：5强满：10</t>
  </si>
  <si>
    <t>http://p1.qhimg.com/dr/30__/t01358d81a46675daf6.jpg</t>
  </si>
  <si>
    <t>火控雷达T3</t>
  </si>
  <si>
    <t>炮击初始：8强满：21</t>
  </si>
  <si>
    <t>4-3、铅色SP2、10-3、坠落之翼B1、坠落之翼D1、凛冬王冠A3、凛冬王冠C3、墨染B2、墨染D2、传颂之物SP4、苍红的回响A3、苍红的回响C3、复刻墨染B2、复刻墨染D2、铁血音符誓言B3</t>
  </si>
  <si>
    <t>http://p6.qhimg.com/dr/30__/t01606bb915b732f632.jpg</t>
  </si>
  <si>
    <t>灭火器T1</t>
  </si>
  <si>
    <t>耐久初始：50强满：72</t>
  </si>
  <si>
    <t>起火概率降低10%，起火伤害降低10%，同类效果取最大值，不可叠加</t>
  </si>
  <si>
    <t>http://p0.qhimg.com/dr/30__/t013dc2c2c84050c175.jpg</t>
  </si>
  <si>
    <t>灭火器T2</t>
  </si>
  <si>
    <t>耐久初始：90强满：130</t>
  </si>
  <si>
    <t>起火概率降低20%，持续时间缩短3秒，起火伤害降低15%，同类效果取最大值，不可叠加</t>
  </si>
  <si>
    <t>http://p3.qhimg.com/dr/30__/t01bc4889e5e05fc8e9.jpg</t>
  </si>
  <si>
    <t>灭火器T3</t>
  </si>
  <si>
    <t>耐久初始：140强满：266</t>
  </si>
  <si>
    <t>起火概率降低30%，持续时间缩短6秒，起火伤害降低20%，同类效果取最大值，不可叠加</t>
  </si>
  <si>
    <t>2-3、光与影的鸢尾之华A3、复刻光与影的鸢尾之华A3</t>
  </si>
  <si>
    <t>http://p9.qhimg.com/dr/30__/t01e56d14b6e5f8a28e.jpg</t>
  </si>
  <si>
    <t>燃油滤清器T1</t>
  </si>
  <si>
    <t>机动2</t>
  </si>
  <si>
    <t>http://p2.qhimg.com/dr/30__/t0105e6aa2379787af3.jpg</t>
  </si>
  <si>
    <t>燃油滤清器T2</t>
  </si>
  <si>
    <t>耐久初始：90强满：171</t>
  </si>
  <si>
    <t>http://p4.qhimg.com/dr/30__/t018b60567a25a91f25.jpg</t>
  </si>
  <si>
    <t>燃油滤清器T3</t>
  </si>
  <si>
    <t>耐久初始：140强满：350</t>
  </si>
  <si>
    <t>3-1、9-2、10-4、坠落之翼A3、坠落之翼C3、围剿SP2、凛冬王冠A2、凛冬王冠C2、墨染C1、苍红的回响A3、苍红的回响C3、复刻墨染C1、虚拟链接的共时性SP3</t>
  </si>
  <si>
    <t>http://p3.qhimg.com/dr/30__/t019beca21b12e10aab.jpg</t>
  </si>
  <si>
    <t>珍珠之泪T1</t>
  </si>
  <si>
    <t>珍珠之泪：被击沉时恢复全队其他角色耐久10%</t>
  </si>
  <si>
    <t>亚利桑那、俄克拉荷马、卡辛、唐斯</t>
  </si>
  <si>
    <t>http://p2.qhimg.com/dr/30__/t01d016478b5f58a8d0.jpg</t>
  </si>
  <si>
    <t>电动扬弹机T1</t>
  </si>
  <si>
    <t>装填初始：2强满：3</t>
  </si>
  <si>
    <t>炮击初始：0强满：2</t>
  </si>
  <si>
    <t>http://p5.qhimg.com/dr/30__/t018d9e7db6a7352e8c.jpg</t>
  </si>
  <si>
    <t>电动扬弹机T2</t>
  </si>
  <si>
    <t>装填初始：5强满：7</t>
  </si>
  <si>
    <t>炮击初始：1强满：4</t>
  </si>
  <si>
    <t>http://p1.qhimg.com/dr/30__/t01f3fe7eb6d957c653.jpg</t>
  </si>
  <si>
    <t>电动扬弹机T3</t>
  </si>
  <si>
    <t>装填初始：9强满：17</t>
  </si>
  <si>
    <t>炮击初始：3强满：5</t>
  </si>
  <si>
    <t>1-4、墨染B2、复刻墨染B2</t>
  </si>
  <si>
    <t>http://p1.qhimg.com/dr/30__/t013a52b71b0b79e225.jpg</t>
  </si>
  <si>
    <t>约定的证明T0</t>
  </si>
  <si>
    <t>机动初始：12强满：20</t>
  </si>
  <si>
    <t>耐久初始：80强满：150</t>
  </si>
  <si>
    <t>已抵达的承诺：U556装备该设备时，自身水面作战的持续时间增加4秒，自身狩猎范围等级+1；俾斯麦装备该设备时，主力舰队受到弹药匮乏状态的影响降低（-50%→-35%）</t>
  </si>
  <si>
    <t>http://p1.qhimg.com/dr/30__/t01f84c01427a4caf3a.jpg</t>
  </si>
  <si>
    <t>维修工具T1</t>
  </si>
  <si>
    <t>每15秒0.3%缓慢回复耐久，同类效果取最大值，不可叠加</t>
  </si>
  <si>
    <t>http://p1.qhimg.com/dr/30__/t0175b178875ff80bff.jpg</t>
  </si>
  <si>
    <t>维修工具T2</t>
  </si>
  <si>
    <t>每15秒0.6%缓慢回复耐久，同类效果取最大值，不可叠加</t>
  </si>
  <si>
    <t>http://p9.qhimg.com/dr/30__/t01ffe69d0d84d50e32.jpg</t>
  </si>
  <si>
    <t>维修工具T3</t>
  </si>
  <si>
    <t>每15秒1.0%缓慢回复耐久，同类效果取最大值，不可叠加</t>
  </si>
  <si>
    <t>3-4、铅色SP3、10-3、坠落之翼B2、月光下的序曲SP3、苍红的回响B1、苍红的回响D1、铁血音符誓言B3、铁血音符誓言D3、铁血音符誓言SP</t>
  </si>
  <si>
    <t>http://p2.qhimg.com/dr/30__/t01f36dc314ac47c242.jpg</t>
  </si>
  <si>
    <t>航空副油箱T1</t>
  </si>
  <si>
    <t>航空初始：10强满：14</t>
  </si>
  <si>
    <t>舰载机耐久增加50点，同类效果取最大值，不可叠加</t>
  </si>
  <si>
    <t>http://p5.qhimg.com/dr/30__/t01459588cfaafe3ad5.jpg</t>
  </si>
  <si>
    <t>航空副油箱T2</t>
  </si>
  <si>
    <t>耐久初始：16强满：34</t>
  </si>
  <si>
    <t>舰载机耐久增加80点，同类效果取最大值，不可叠加</t>
  </si>
  <si>
    <t>http://p8.qhimg.com/dr/30__/t013b8f0dec7c64b005.jpg</t>
  </si>
  <si>
    <t>航空副油箱T3</t>
  </si>
  <si>
    <t>舰载机耐久增加120点，同类效果取最大值，不可叠加</t>
  </si>
  <si>
    <t>5-3、凛冬王冠B2、异色格B2、异色格D2、复刻异色格B2、复刻异色格D2、铁血音符誓言A2、铁血音符誓言C2</t>
  </si>
  <si>
    <t>http://p3.qhimg.com/dr/30__/t0160358563fc9e8244.jpg</t>
  </si>
  <si>
    <t>舰艇维修设备T1</t>
  </si>
  <si>
    <t>维修Lv1：每5秒回复6点耐久，同类效果取最大值，不可叠加(作用目标为1个，优先百分比血量最少的)</t>
  </si>
  <si>
    <t>舰艇维修设备T2</t>
  </si>
  <si>
    <t>维修Lv2：每5秒回复10点耐久，同类效果取最大值，不可叠加(作用目标为1个，优先百分比血量最少的)</t>
  </si>
  <si>
    <t>舰艇维修设备T3</t>
  </si>
  <si>
    <t>维修Lv3：每5秒回复15点耐久，同类效果取最大值，不可叠加(作用目标为1个，优先百分比血量最少的)</t>
  </si>
  <si>
    <t>9-2、红染C2、墨染C3、复刻墨染C3</t>
  </si>
  <si>
    <t>超重弹T0</t>
  </si>
  <si>
    <t>炮击初始：28强满：70</t>
  </si>
  <si>
    <t>超重弹：主炮炮击的暴击率提高8%</t>
  </si>
  <si>
    <t>http://p3.qhimg.com/dr/30__/t013914a67b2ae70cd6.jpg</t>
  </si>
  <si>
    <t>链式装弹机T1</t>
  </si>
  <si>
    <t>炮击初始：1强满：2</t>
  </si>
  <si>
    <t>http://p2.qhimg.com/dr/30__/t011a21577283134516.jpg</t>
  </si>
  <si>
    <t>链式装弹机T2</t>
  </si>
  <si>
    <t>炮击初始：2强满：4</t>
  </si>
  <si>
    <t>http://p7.qhimg.com/dr/30__/t01bb8e13cc18b6b646.jpg</t>
  </si>
  <si>
    <t>链式装弹机T3</t>
  </si>
  <si>
    <t>装填初始：14强满：35</t>
  </si>
  <si>
    <t>炮击初始：3强满：7</t>
  </si>
  <si>
    <t>6-3、10-1、坠落之翼B1、坠落之翼D1、凛冬王冠B1、凛冬王冠D1、11-3、墨染C2、月光下的序曲SP2、苍红的回响B3、复刻墨染C2</t>
  </si>
  <si>
    <t>http://p0.qhimg.com/dr/30__/t01ccad4a8a2082dc0b.jpg</t>
  </si>
  <si>
    <t>防鱼雷隔舱T1</t>
  </si>
  <si>
    <t>受到鱼雷伤害减少10%，同类效果取最大值，不可叠加</t>
  </si>
  <si>
    <t>http://p8.qhimg.com/dr/30__/t011921289e0dd210ba.jpg</t>
  </si>
  <si>
    <t>防鱼雷隔舱T2</t>
  </si>
  <si>
    <t>受到鱼雷伤害减少20%，同类效果取最大值，不可叠加</t>
  </si>
  <si>
    <t>http://p5.qhimg.com/dr/30__/t0148b27ab53d79c71d.jpg</t>
  </si>
  <si>
    <t>防鱼雷隔舱T3</t>
  </si>
  <si>
    <t>受到鱼雷伤害减少30%，同类效果取最大值，不可叠加</t>
  </si>
  <si>
    <t>4-1、7-4、10-2、墨染C3、月光下的序曲SP1、复刻墨染C3、铁血音符誓言B3、铁血音符誓言D3、铁血音符誓言SP</t>
  </si>
  <si>
    <t>http://p0.qhimg.com/dr/30__/t0190acad4a31634739.jpg</t>
  </si>
  <si>
    <t>陀螺仪T1</t>
  </si>
  <si>
    <t>命中初始：5强满：7</t>
  </si>
  <si>
    <t>http://p3.qhimg.com/dr/30__/t01eaea9e3927e7915b.jpg</t>
  </si>
  <si>
    <t>陀螺仪T2</t>
  </si>
  <si>
    <t>命中初始：9强满：17</t>
  </si>
  <si>
    <t>http://p3.qhimg.com/dr/30__/t01815e709a58247247.jpg</t>
  </si>
  <si>
    <t>陀螺仪T3</t>
  </si>
  <si>
    <t>6-2、七夕Sp3、10-2、坠落之翼A3、坠落之翼C3、凛冬王冠A2、凛冬王冠C2</t>
  </si>
  <si>
    <t>http://p2.qhimg.com/dr/30__/t01efd5d88320890847.jpg</t>
  </si>
  <si>
    <t>随机单词生成器T0</t>
  </si>
  <si>
    <t>命中初始：16强满：25</t>
  </si>
  <si>
    <t>随机单词生成器：任意KizunaAI装备时，战斗开始时，将改变主武器的装备外观</t>
  </si>
  <si>
    <t>http://p5.qhimg.com/dr/30__/t0192da72e0b3e567aa.jpg</t>
  </si>
  <si>
    <t>高压氧气瓶T0</t>
  </si>
  <si>
    <t>氧气初始：18强满：45</t>
  </si>
  <si>
    <t>高性能对空雷达T0</t>
  </si>
  <si>
    <t>防空初始：40强满：100</t>
  </si>
  <si>
    <t>对空搜索：提供了优秀的对空搜索，受到伏击概率降低12%，效果不可叠加。</t>
  </si>
  <si>
    <t>http://p5.qhimg.com/dr/30__/t01160e38ebd3bd496c.jpg</t>
  </si>
  <si>
    <t>高性能火控雷达T0</t>
  </si>
  <si>
    <t>命中初始：14强满：36</t>
  </si>
  <si>
    <t>炮击初始：12强满：30</t>
  </si>
  <si>
    <t>精确锁定：第一轮主炮准备时间缩短15%</t>
  </si>
  <si>
    <t>http://p3.qhimg.com/dr/30__/t019bbed3c6858758c1.jpg</t>
  </si>
  <si>
    <t>高性能舵机T0</t>
  </si>
  <si>
    <t>机动初始：16强满：40</t>
  </si>
  <si>
    <t>耐久初始：24强满：60</t>
  </si>
  <si>
    <t>机动回避：每20秒有30%概率触发，自身2秒内完全回避攻击伤害(无法回避碰撞、起火等状态造成的伤害)</t>
  </si>
  <si>
    <t>http://p1.qhimg.com/dr/30__/t018cb7b2830e64204c.jpg</t>
  </si>
  <si>
    <t>vs轻甲dps</t>
    <phoneticPr fontId="1" type="noConversion"/>
  </si>
  <si>
    <t>name</t>
    <phoneticPr fontId="1" type="noConversion"/>
  </si>
  <si>
    <t>damage</t>
    <phoneticPr fontId="1" type="noConversion"/>
  </si>
  <si>
    <t>upDamage</t>
    <phoneticPr fontId="1" type="noConversion"/>
  </si>
  <si>
    <t>北境序曲A3、北境序曲C3、北境序曲SP</t>
  </si>
  <si>
    <t>双联装152mm主炮Model1892T3</t>
  </si>
  <si>
    <t>北境序曲A1</t>
  </si>
  <si>
    <t>三联装305mm主炮Model1907T3</t>
  </si>
  <si>
    <t>北境序曲A2</t>
  </si>
  <si>
    <t>双联203mm主炮Model1927T3</t>
  </si>
  <si>
    <t>半穿甲弹</t>
  </si>
  <si>
    <t>三联装381mm主炮Model1934T2</t>
  </si>
  <si>
    <t>神圣的悲喜剧B2、神圣的悲喜剧D2</t>
  </si>
  <si>
    <t>B-13 双联装130mm主炮B-2LMT3</t>
  </si>
  <si>
    <t>三联装381mm主炮Model1934T3</t>
  </si>
  <si>
    <t>三联装320mm主炮Model1934T0</t>
  </si>
  <si>
    <t>双联203mm主炮Model1927T1</t>
  </si>
  <si>
    <t>双联装120mm炮Model1933T0</t>
  </si>
  <si>
    <t>神圣的悲喜剧A1</t>
  </si>
  <si>
    <t>北境序曲B3、北境序曲D3</t>
  </si>
  <si>
    <t>北境序曲A3</t>
  </si>
  <si>
    <t>双联203mm主炮Model1927T2</t>
  </si>
  <si>
    <t>双联203mm主炮Model1924T1</t>
  </si>
  <si>
    <t>双联装120mm炮Model1936T1</t>
  </si>
  <si>
    <t>三联装381mm主炮Model1934T1</t>
  </si>
  <si>
    <t>前摇时间</t>
    <phoneticPr fontId="1" type="noConversion"/>
  </si>
  <si>
    <t>后摇时间</t>
    <phoneticPr fontId="1" type="noConversion"/>
  </si>
  <si>
    <t>总时间
开火+前后摇+装填时间</t>
    <phoneticPr fontId="1" type="noConversion"/>
  </si>
  <si>
    <t>装填值</t>
    <phoneticPr fontId="1" type="noConversion"/>
  </si>
  <si>
    <t>upDps</t>
    <phoneticPr fontId="1" type="noConversion"/>
  </si>
  <si>
    <t>upDps*range</t>
    <phoneticPr fontId="1" type="noConversion"/>
  </si>
  <si>
    <t>icon</t>
    <phoneticPr fontId="1" type="noConversion"/>
  </si>
  <si>
    <t>100mm双联装防空炮SM-5-1sT1</t>
  </si>
  <si>
    <t>https://patchwiki.biligame.com/images/blhx/thumb/2/29/fnk1i35e6gxkq9hcd0bd561v337jvo6.jpg/30px-100mm%E5%8F%8C%E8%81%94%E8%A3%85%E9%98%B2%E7%A9%BA%E7%82%AESM-5-1sT1.jpg</t>
  </si>
  <si>
    <t>100mm连装高炮T0</t>
  </si>
  <si>
    <t>https://patchwiki.biligame.com/images/blhx/thumb/c/cd/74p83ry9blqezu0g6cs9wbnoe1vjylq.jpg/30px-100mm%E8%BF%9E%E8%A3%85%E9%AB%98%E7%82%AET0.jpg</t>
  </si>
  <si>
    <t>https://patchwiki.biligame.com/images/blhx/thumb/e/ef/7jbuptfgd8fajpn3qfl74t88q5pj6da.jpg/30px-102mm%E9%AB%98%E5%B0%84%E7%82%AET1.jpg</t>
  </si>
  <si>
    <t>https://patchwiki.biligame.com/images/blhx/thumb/b/b6/pucxxdh55wqyxgr2e1pig1wdnk7ndyw.jpg/30px-102mm%E9%AB%98%E5%B0%84%E7%82%AET2.jpg</t>
  </si>
  <si>
    <t>https://patchwiki.biligame.com/images/blhx/thumb/5/56/82ypnokhmaxd1xma8wkl34qgmrlts0t.jpg/30px-102mm%E9%AB%98%E5%B0%84%E7%82%AET3.jpg</t>
  </si>
  <si>
    <t>https://patchwiki.biligame.com/images/blhx/thumb/1/11/pauqg9ax000hd8m20udpezt615ccy70.jpg/30px-12.7mm%E9%98%B2%E7%A9%BA%E6%9C%BA%E6%9E%AAT1.jpg</t>
  </si>
  <si>
    <t>https://patchwiki.biligame.com/images/blhx/thumb/5/5c/b1bvno2mm9jj3l6y0szj5qhfyupzqfq.jpg/30px-12.7mm%E9%98%B2%E7%A9%BA%E6%9C%BA%E6%9E%AAT2.jpg</t>
  </si>
  <si>
    <t>https://patchwiki.biligame.com/images/blhx/thumb/c/c1/pqikjmxwdsl6pxyjut6ll6gcpikyfye.jpg/30px-12.7mm%E9%98%B2%E7%A9%BA%E6%9C%BA%E6%9E%AAT3.jpg</t>
  </si>
  <si>
    <t>https://patchwiki.biligame.com/images/blhx/thumb/a/a6/ek7arkavsns2mrosymgmbuk6ihe9vmx.jpg/30px-127mm%E8%BF%9E%E8%A3%85%E9%AB%98%E5%B0%84%E7%82%AET1.jpg</t>
  </si>
  <si>
    <t>https://patchwiki.biligame.com/images/blhx/thumb/e/ee/bx5nxjyf5fmqyxl0pubky7b8bukoql2.jpg/30px-127mm%E8%BF%9E%E8%A3%85%E9%AB%98%E5%B0%84%E7%82%AET2.jpg</t>
  </si>
  <si>
    <t>https://patchwiki.biligame.com/images/blhx/thumb/3/3b/kqx9msqn8wjn8vebglzv57w489x6mnc.jpg/30px-127mm%E8%BF%9E%E8%A3%85%E9%AB%98%E5%B0%84%E7%82%AET3.jpg</t>
  </si>
  <si>
    <t>https://patchwiki.biligame.com/images/blhx/thumb/8/87/b5xgs532tb8rn2innvpn3y6uc6jjnhi.jpg/30px-20mm%E5%8E%84%E5%88%A9%E7%A9%BA%E9%AB%98%E5%B0%84%E7%82%AET1.jpg</t>
  </si>
  <si>
    <t>https://patchwiki.biligame.com/images/blhx/thumb/9/9c/2sp6e98jqc2vcwo1z4qmqz6trs2v06z.jpg/30px-20mm%E5%8E%84%E5%88%A9%E7%A9%BA%E9%AB%98%E5%B0%84%E7%82%AET2.jpg</t>
  </si>
  <si>
    <t>https://patchwiki.biligame.com/images/blhx/thumb/d/d1/bac5wymvolcxq6nocccttsmnvap55ab.jpg/30px-20mm%E5%8E%84%E5%88%A9%E7%A9%BA%E9%AB%98%E5%B0%84%E7%82%AET3.jpg</t>
  </si>
  <si>
    <t>https://patchwiki.biligame.com/images/blhx/thumb/b/b9/4tnhafwlhibn60r8056mrjm0zbauexg.jpg/30px-25mm%E4%B8%89%E8%BF%9E%E8%A3%85%E9%AB%98%E5%B0%84%E6%9C%BA%E6%9E%AAT1.jpg</t>
  </si>
  <si>
    <t>https://patchwiki.biligame.com/images/blhx/thumb/e/ef/4br3q911edwsvuo38we1szwh39v9a3p.jpg/30px-25mm%E4%B8%89%E8%BF%9E%E8%A3%85%E9%AB%98%E5%B0%84%E6%9C%BA%E6%9E%AAT2.jpg</t>
  </si>
  <si>
    <t>https://patchwiki.biligame.com/images/blhx/thumb/b/bc/nxlih3wesxp8ajj5jzzjkrmnc5dhkyi.jpg/30px-25mm%E4%B8%89%E8%BF%9E%E8%A3%85%E9%AB%98%E5%B0%84%E6%9C%BA%E6%9E%AAT3.jpg</t>
  </si>
  <si>
    <t>https://patchwiki.biligame.com/images/blhx/thumb/3/3e/i32263whf2748b4je2f6oy12n1o9nf0.jpg/30px-25mm%E8%BF%9E%E8%A3%85%E9%AB%98%E5%B0%84%E6%9C%BA%E6%9E%AAT1.jpg</t>
  </si>
  <si>
    <t>https://patchwiki.biligame.com/images/blhx/thumb/d/d0/a1zs99nhnwzwe8nhno243b82gzpubhd.jpg/30px-25mm%E8%BF%9E%E8%A3%85%E9%AB%98%E5%B0%84%E6%9C%BA%E6%9E%AAT2.jpg</t>
  </si>
  <si>
    <t>https://patchwiki.biligame.com/images/blhx/thumb/b/b4/mhn69n2cwxl9droqt2udm36ddvehvev.jpg/30px-25mm%E8%BF%9E%E8%A3%85%E9%AB%98%E5%B0%84%E6%9C%BA%E6%9E%AAT3.jpg</t>
  </si>
  <si>
    <t>https://patchwiki.biligame.com/images/blhx/thumb/e/eb/jv220mw77hhjbi8mh6hfkzjnczqr4qm.jpg/30px-25mm%E9%AB%98%E5%B0%84%E6%9C%BA%E6%9E%AAT1.jpg</t>
  </si>
  <si>
    <t>https://patchwiki.biligame.com/images/blhx/thumb/e/e6/f1rpa4y0p8y87y0olzd3mb1mdvnnybk.jpg/30px-25mm%E9%AB%98%E5%B0%84%E6%9C%BA%E6%9E%AAT2.jpg</t>
  </si>
  <si>
    <t>https://patchwiki.biligame.com/images/blhx/thumb/d/db/qe2ntjvwzgctkrz50tj5tace6xx7bvq.jpg/30px-25mm%E9%AB%98%E5%B0%84%E6%9C%BA%E6%9E%AAT3.jpg</t>
  </si>
  <si>
    <t>https://patchwiki.biligame.com/images/blhx/thumb/c/c7/n1imig64lx0opnbes0uy6rm5bz4106v.jpg/30px-37mm%E6%9C%BA%E6%9E%AAT1.jpg</t>
  </si>
  <si>
    <t>https://patchwiki.biligame.com/images/blhx/thumb/3/31/sozkq0bdt53mi1ovgzocz5l1aj9vw2b.jpg/30px-37mm%E6%9C%BA%E6%9E%AAT2.jpg</t>
  </si>
  <si>
    <t>https://patchwiki.biligame.com/images/blhx/thumb/9/90/ilmrq0nrn3ymelksqya94oknq6hzilj.jpg/30px-37mm%E6%9C%BA%E6%9E%AAT3.jpg</t>
  </si>
  <si>
    <t>37mm防空炮70-KT1</t>
  </si>
  <si>
    <t>https://patchwiki.biligame.com/images/blhx/thumb/a/a7/cb2nrjwe06q65yjzqkl6coeszydxy34.jpg/30px-37mm%E9%98%B2%E7%A9%BA%E7%82%AE70-KT1.jpg</t>
  </si>
  <si>
    <t>37mm防空炮70-KT2</t>
  </si>
  <si>
    <t>https://patchwiki.biligame.com/images/blhx/thumb/4/4f/ihfhnhfgio9bybrtvhvl20gda3zf3rv.jpg/30px-37mm%E9%98%B2%E7%A9%BA%E7%82%AE70-KT2.jpg</t>
  </si>
  <si>
    <t>37mm防空炮70-KT3</t>
  </si>
  <si>
    <t>https://patchwiki.biligame.com/images/blhx/thumb/3/37/s1xslf35zqjmyx9i6yhiy7wh9s6cltm.jpg/30px-37mm%E9%98%B2%E7%A9%BA%E7%82%AE70-KT3.jpg</t>
  </si>
  <si>
    <t>https://patchwiki.biligame.com/images/blhx/thumb/c/cc/619k5jmn1c5uvikeku8j68spyvcae1m.jpg/30px-76mm%E9%AB%98%E5%B0%84%E7%82%AET1.jpg</t>
  </si>
  <si>
    <t>76mm高射炮T1（重樱）</t>
  </si>
  <si>
    <t>https://patchwiki.biligame.com/images/blhx/thumb/b/b8/kmmq0m36glbojxb1q6mykdc08zjd7d1.jpg/30px-76mm%E9%AB%98%E5%B0%84%E7%82%AET1%EF%BC%88%E9%87%8D%E6%A8%B1%EF%BC%89.jpg</t>
  </si>
  <si>
    <t>https://patchwiki.biligame.com/images/blhx/thumb/1/1f/58ngsfxasee1tdu4maqpqy71b674z3b.jpg/30px-76mm%E9%AB%98%E5%B0%84%E7%82%AET2.jpg</t>
  </si>
  <si>
    <t>https://patchwiki.biligame.com/images/blhx/thumb/e/e5/fsewtn6d3rcyedd7pa15uiwj8km0irc.jpg/30px-76mm%E9%AB%98%E5%B0%84%E7%82%AET3.jpg</t>
  </si>
  <si>
    <t>90mm单装高角炮Model1939T1</t>
  </si>
  <si>
    <t>https://patchwiki.biligame.com/images/blhx/thumb/8/8e/mi5ma38udolwyx1clkfhlbb6sax13on.jpg/30px-90mm%E5%8D%95%E8%A3%85%E9%AB%98%E8%A7%92%E7%82%AEModel1939T1.jpg</t>
  </si>
  <si>
    <t>90mm单装高角炮Model1939T2</t>
  </si>
  <si>
    <t>https://patchwiki.biligame.com/images/blhx/thumb/3/34/1ufga4zf0o728n76fml9q14qwm04xj3.jpg/30px-90mm%E5%8D%95%E8%A3%85%E9%AB%98%E8%A7%92%E7%82%AEModel1939T2.jpg</t>
  </si>
  <si>
    <t>90mm单装高角炮Model1939T3</t>
  </si>
  <si>
    <t>https://patchwiki.biligame.com/images/blhx/thumb/a/ac/p758pcdlexgubvd63mhb3etxqhrj7ju.jpg/30px-90mm%E5%8D%95%E8%A3%85%E9%AB%98%E8%A7%92%E7%82%AEModel1939T3.jpg</t>
  </si>
  <si>
    <t>B-34 100mm双联装防空炮MZ-14T1</t>
  </si>
  <si>
    <t>https://patchwiki.biligame.com/images/blhx/thumb/3/35/nrokywztfumowk9ohz2vld1ocnhbmam.jpg/30px-B-34_100mm%E5%8F%8C%E8%81%94%E8%A3%85%E9%98%B2%E7%A9%BA%E7%82%AEMZ-14T1.jpg</t>
  </si>
  <si>
    <t>B-34 100mm双联装防空炮MZ-14T2</t>
  </si>
  <si>
    <t>https://patchwiki.biligame.com/images/blhx/thumb/0/0e/2fgs8wxvi8h3lztp3jdvxucowyfaod5.jpg/30px-B-34_100mm%E5%8F%8C%E8%81%94%E8%A3%85%E9%98%B2%E7%A9%BA%E7%82%AEMZ-14T2.jpg</t>
  </si>
  <si>
    <t>B-34 100mm双联装防空炮MZ-14T3</t>
  </si>
  <si>
    <t>https://patchwiki.biligame.com/images/blhx/thumb/b/b6/npw5qd472zeqef65kev2pptqnjiwj02.jpg/30px-B-34_100mm%E5%8F%8C%E8%81%94%E8%A3%85%E9%98%B2%E7%A9%BA%E7%82%AEMZ-14T3.jpg</t>
  </si>
  <si>
    <t>B-54 100mm双联装防空炮T2</t>
  </si>
  <si>
    <t>https://patchwiki.biligame.com/images/blhx/thumb/4/4b/5w8fo888ftgnvvxkpycij44da79pms7.jpg/30px-B-54_100mm%E5%8F%8C%E8%81%94%E8%A3%85%E9%98%B2%E7%A9%BA%E7%82%AET2.jpg</t>
  </si>
  <si>
    <t>B-54 100mm双联装防空炮T3</t>
  </si>
  <si>
    <t>https://patchwiki.biligame.com/images/blhx/thumb/d/d0/2pe06dmi9cf6h6n6absl3y22g0ejpfi.jpg/30px-B-54_100mm%E5%8F%8C%E8%81%94%E8%A3%85%E9%98%B2%E7%A9%BA%E7%82%AET3.jpg</t>
  </si>
  <si>
    <t>https://patchwiki.biligame.com/images/blhx/thumb/8/83/j2qm6bwvly12in36u8x6on6aa5hiyxr.jpg/30px-%E5%85%AB%E8%81%94%E8%A3%8540mm%E2%80%9C%E7%A0%B0%E7%A0%B0%E2%80%9D%E7%82%AET1.jpg</t>
  </si>
  <si>
    <t>https://patchwiki.biligame.com/images/blhx/thumb/a/a7/kqzgsgdbf1zbgshkcwqcqkwwi5mw9vu.jpg/30px-%E5%85%AB%E8%81%94%E8%A3%8540mm%E2%80%9C%E7%A0%B0%E7%A0%B0%E2%80%9D%E7%82%AET2.jpg</t>
  </si>
  <si>
    <t>https://patchwiki.biligame.com/images/blhx/thumb/7/79/h8rkl7wbdp6ihzm9i4ov1t5w5x6zbew.jpg/30px-%E5%85%AB%E8%81%94%E8%A3%8540mm%E2%80%9C%E7%A0%B0%E7%A0%B0%E2%80%9D%E7%82%AET3.jpg</t>
  </si>
  <si>
    <t>https://patchwiki.biligame.com/images/blhx/thumb/c/c2/bfubv8yo9442d2j9sgs1v8qhviramts.jpg/30px-%E5%8F%8C%E7%AE%A120mm%E5%8E%84%E5%88%A9%E7%A9%BA%E9%AB%98%E5%B0%84%E7%82%AET1.jpg</t>
  </si>
  <si>
    <t>https://patchwiki.biligame.com/images/blhx/thumb/1/1e/d1v8qtxhzlxaiexrzoo3gn8uxxn1v74.jpg/30px-%E5%8F%8C%E7%AE%A120mm%E5%8E%84%E5%88%A9%E7%A9%BA%E9%AB%98%E5%B0%84%E7%82%AET2.jpg</t>
  </si>
  <si>
    <t>https://patchwiki.biligame.com/images/blhx/thumb/e/e3/lzuzkruqtnj1p2tsbsyvlxuidpsxls8.jpg/30px-%E5%8F%8C%E7%AE%A120mm%E5%8E%84%E5%88%A9%E7%A9%BA%E9%AB%98%E5%B0%84%E7%82%AET3.jpg</t>
  </si>
  <si>
    <t>https://patchwiki.biligame.com/images/blhx/thumb/b/b2/0zt8sekguyllbh3q1ywxo79frclx18f.jpg/30px-%E5%8F%8C%E8%81%94105mmSKC%E9%AB%98%E7%82%AET1.jpg</t>
  </si>
  <si>
    <t>https://patchwiki.biligame.com/images/blhx/thumb/8/8f/k0yxx6zl6h2cskkp4k788reshesjz0m.jpg/30px-%E5%8F%8C%E8%81%94105mmSKC%E9%AB%98%E7%82%AET2.jpg</t>
  </si>
  <si>
    <t>https://patchwiki.biligame.com/images/blhx/thumb/b/bc/ody4vkfu5mwpblbvo13u1nwb36ucbfs.jpg/30px-%E5%8F%8C%E8%81%94105mmSKC%E9%AB%98%E7%82%AET3.jpg</t>
  </si>
  <si>
    <t>https://patchwiki.biligame.com/images/blhx/thumb/e/ef/teg3l9hemb6l6o6ja1cpgbg7tbyluwr.jpg/30px-%E5%8F%8C%E8%81%9437mm%E6%89%8B%E6%8B%89%E6%9C%BA%E6%9E%AAT1.jpg</t>
  </si>
  <si>
    <t>https://patchwiki.biligame.com/images/blhx/thumb/0/06/gkxyrpf0rwd2yn5nehi071ql20emxxg.jpg/30px-%E5%8F%8C%E8%81%9437mm%E6%89%8B%E6%8B%89%E6%9C%BA%E6%9E%AAT2.jpg</t>
  </si>
  <si>
    <t>https://patchwiki.biligame.com/images/blhx/thumb/c/ce/lqqk2ptnse0xuxug1hpan0xa5pwvd59.jpg/30px-%E5%8F%8C%E8%81%9437mm%E6%89%8B%E6%8B%89%E6%9C%BA%E6%9E%AAT3.jpg</t>
  </si>
  <si>
    <t>双联37mm机枪Model1932T1</t>
  </si>
  <si>
    <t>https://patchwiki.biligame.com/images/blhx/thumb/d/d7/39k855imql501ysuiqm8ku10n5wx300.jpg/30px-%E5%8F%8C%E8%81%9437mm%E6%9C%BA%E6%9E%AAModel1932T1.jpg</t>
  </si>
  <si>
    <t>双联37mm机枪Model1932T2</t>
  </si>
  <si>
    <t>https://patchwiki.biligame.com/images/blhx/thumb/1/1a/8hirwucfs5mkjxdwkme029uz4ipwo26.jpg/30px-%E5%8F%8C%E8%81%9437mm%E6%9C%BA%E6%9E%AAModel1932T2.jpg</t>
  </si>
  <si>
    <t>双联37mm机枪Model1932T3</t>
  </si>
  <si>
    <t>https://patchwiki.biligame.com/images/blhx/thumb/8/85/6wc4ragkxuq3pshalrbaqcez4aqioan.jpg/30px-%E5%8F%8C%E8%81%9437mm%E6%9C%BA%E6%9E%AAModel1932T3.jpg</t>
  </si>
  <si>
    <t>https://patchwiki.biligame.com/images/blhx/thumb/c/cf/929hp675iymrkht0ynxmdeumbbww3zo.jpg/30px-%E5%8F%8C%E8%81%9437mm%E9%AB%98%E5%B0%84%E7%82%AEMle1936T0.jpg</t>
  </si>
  <si>
    <t>https://patchwiki.biligame.com/images/blhx/thumb/6/60/0qtx8hywo20m8f4mo31p3dkrano1ur1.jpg/30px-%E5%8F%8C%E8%81%9440mm%E5%8D%9A%E7%A6%8F%E6%96%AF%E5%AF%B9%E7%A9%BA%E6%9C%BA%E7%82%AET1.jpg</t>
  </si>
  <si>
    <t>https://patchwiki.biligame.com/images/blhx/thumb/4/44/2ogwk1u26ts4qffyeobr53zp80t2er5.jpg/30px-%E5%8F%8C%E8%81%9440mm%E5%8D%9A%E7%A6%8F%E6%96%AF%E5%AF%B9%E7%A9%BA%E6%9C%BA%E7%82%AET2.jpg</t>
  </si>
  <si>
    <t>https://patchwiki.biligame.com/images/blhx/thumb/1/19/ex5pk8v6kz8nmgxbojsstfjcmiux4gm.jpg/30px-%E5%8F%8C%E8%81%9440mm%E5%8D%9A%E7%A6%8F%E6%96%AF%E5%AF%B9%E7%A9%BA%E6%9C%BA%E7%82%AET3.jpg</t>
  </si>
  <si>
    <t>https://patchwiki.biligame.com/images/blhx/thumb/5/5d/jjr640tl9hfemnvliagczxgdu06h5jm.jpg/30px-%E5%8F%8C%E8%81%94%E8%A3%85100mm%E9%AB%98%E7%82%AET3.jpg</t>
  </si>
  <si>
    <t>https://patchwiki.biligame.com/images/blhx/thumb/6/6e/9wayh98w77z104i21t5havuf7ob5zii.jpg/30px-%E5%8F%8C%E8%81%94%E8%A3%85113mm%E9%AB%98%E5%B0%84%E7%82%AET1.jpg</t>
  </si>
  <si>
    <t>https://patchwiki.biligame.com/images/blhx/thumb/c/c7/mpsx368xtwqow9j4s3fxxqlty9zt46s.jpg/30px-%E5%8F%8C%E8%81%94%E8%A3%85113mm%E9%AB%98%E5%B0%84%E7%82%AET2.jpg</t>
  </si>
  <si>
    <t>https://patchwiki.biligame.com/images/blhx/thumb/d/d5/qknehielnhh4gycu7rcmnebf6xlc6uj.jpg/30px-%E5%8F%8C%E8%81%94%E8%A3%85113mm%E9%AB%98%E5%B0%84%E7%82%AET3.jpg</t>
  </si>
  <si>
    <t>双联装134mm高炮T0</t>
  </si>
  <si>
    <t>https://patchwiki.biligame.com/images/blhx/thumb/1/18/bv7pzmzb1hhohkppnse8vu5gycrgivt.jpg/30px-%E5%8F%8C%E8%81%94%E8%A3%85134mm%E9%AB%98%E7%82%AET0.jpg</t>
  </si>
  <si>
    <t>https://patchwiki.biligame.com/images/blhx/thumb/1/11/6psgb9rayekpinvsui71sv23r4d0pph.jpg/30px-%E5%8F%8C%E8%81%94%E8%A3%8540mm%E2%80%9C%E7%A0%B0%E7%A0%B0%E2%80%9D%E7%82%AET1.jpg</t>
  </si>
  <si>
    <t>https://patchwiki.biligame.com/images/blhx/thumb/b/b4/cifg2c08g4rlt6b9xiqkb15bp0fztxd.jpg/30px-%E5%8F%8C%E8%81%94%E8%A3%8540mm%E2%80%9C%E7%A0%B0%E7%A0%B0%E2%80%9D%E7%82%AET2.jpg</t>
  </si>
  <si>
    <t>https://patchwiki.biligame.com/images/blhx/thumb/2/24/dg8xlmvenjaid1so5gf7ci2hcuk2mep.jpg/30px-%E5%8F%8C%E8%81%94%E8%A3%8540mm%E2%80%9C%E7%A0%B0%E7%A0%B0%E2%80%9D%E7%82%AET3.jpg</t>
  </si>
  <si>
    <t>https://patchwiki.biligame.com/images/blhx/thumb/a/ac/avshly3wgbo28ani3rrdar6mzsizxvk.jpg/30px-%E5%8F%8C%E8%81%94%E8%A3%8540mm%E5%8D%9A%E7%A6%8F%E6%96%AFSTAAGT0.jpg</t>
  </si>
  <si>
    <t>https://patchwiki.biligame.com/images/blhx/thumb/4/41/qh6s3fr1wzaqdkppcv6ctc635fe9fgm.jpg/30px-%E5%8F%8C%E8%81%94%E8%A3%8540mm%E5%8D%9A%E7%A6%8F%E6%96%AF%E6%B5%B7%E5%85%B9%E6%A2%85%E8%80%B6T0.jpg</t>
  </si>
  <si>
    <t>https://patchwiki.biligame.com/images/blhx/thumb/d/d2/9p95gsbro0za6ai3t8n0ek5txpdpmpj.jpg/30px-%E5%9B%9B%E8%81%9440mm%E5%8D%9A%E7%A6%8F%E6%96%AF%E5%AF%B9%E7%A9%BA%E6%9C%BA%E7%82%AET1.jpg</t>
  </si>
  <si>
    <t>https://patchwiki.biligame.com/images/blhx/thumb/4/40/p01ytgxg33g7s4tm0c3oo4qmlo7ck1t.jpg/30px-%E5%9B%9B%E8%81%9440mm%E5%8D%9A%E7%A6%8F%E6%96%AF%E5%AF%B9%E7%A9%BA%E6%9C%BA%E7%82%AET2.jpg</t>
  </si>
  <si>
    <t>https://patchwiki.biligame.com/images/blhx/thumb/e/e4/hcrsnr0lo56x8siq1b2fwm9acogflkl.jpg/30px-%E5%9B%9B%E8%81%9440mm%E5%8D%9A%E7%A6%8F%E6%96%AF%E5%AF%B9%E7%A9%BA%E6%9C%BA%E7%82%AET3.jpg</t>
  </si>
  <si>
    <t>https://patchwiki.biligame.com/images/blhx/thumb/4/40/eb2m79fye9td2gokq2jdomhhfh2q239.jpg/30px-%E5%9B%9B%E8%81%94%E8%A3%8520mm_MG%E6%9C%BA%E6%9E%AAT1.jpg</t>
  </si>
  <si>
    <t>https://patchwiki.biligame.com/images/blhx/thumb/3/30/jsp5qhymb1gasnoslq06qq5nsez3ojr.jpg/30px-%E5%9B%9B%E8%81%94%E8%A3%8520mm_MG%E6%9C%BA%E6%9E%AAT2.jpg</t>
  </si>
  <si>
    <t>https://patchwiki.biligame.com/images/blhx/thumb/f/ff/1iu02x72f1mx4bzfb818s43mqdrwdp6.jpg/30px-%E5%9B%9B%E8%81%94%E8%A3%8520mm_MG%E6%9C%BA%E6%9E%AAT3.jpg</t>
  </si>
  <si>
    <t>https://patchwiki.biligame.com/images/blhx/thumb/2/2f/acclgiu254tidwx6bgx52ll55rqxyd2.jpg/30px-%E5%9B%9B%E8%81%94%E8%A3%8528mm%E2%80%9C%E8%8A%9D%E5%8A%A0%E5%93%A5%E9%92%A2%E7%90%B4%E2%80%9DT1.jpg</t>
  </si>
  <si>
    <t>https://patchwiki.biligame.com/images/blhx/thumb/7/7f/rrmle5f8l559g6up0mxmepmvmhh6z58.jpg/30px-%E5%9B%9B%E8%81%94%E8%A3%8528mm%E2%80%9C%E8%8A%9D%E5%8A%A0%E5%93%A5%E9%92%A2%E7%90%B4%E2%80%9DT2.jpg</t>
  </si>
  <si>
    <t>https://patchwiki.biligame.com/images/blhx/thumb/a/a5/fma5esf16bpntr3nuxrmc4zwgaq245n.jpg/30px-%E5%9B%9B%E8%81%94%E8%A3%8528mm%E2%80%9C%E8%8A%9D%E5%8A%A0%E5%93%A5%E9%92%A2%E7%90%B4%E2%80%9DT3.jpg</t>
  </si>
  <si>
    <t>https://patchwiki.biligame.com/images/blhx/thumb/0/0c/k72qr6l9g7rdfthsxz4tndedua6z6xm.jpg/30px-%E5%9B%9B%E8%81%94%E8%A3%8540mm%E2%80%9C%E7%A0%B0%E7%A0%B0%E2%80%9D%E7%82%AET1.jpg</t>
  </si>
  <si>
    <t>https://patchwiki.biligame.com/images/blhx/thumb/f/f9/2bn317p8a57z20cuiab8g4aj6g53lco.jpg/30px-%E5%9B%9B%E8%81%94%E8%A3%8540mm%E2%80%9C%E7%A0%B0%E7%A0%B0%E2%80%9D%E7%82%AET2.jpg</t>
  </si>
  <si>
    <t>https://patchwiki.biligame.com/images/blhx/thumb/8/8f/mmiynrajp4kjicsubrlj29g8mna65kb.jpg/30px-%E5%9B%9B%E8%81%94%E8%A3%8540mm%E2%80%9C%E7%A0%B0%E7%A0%B0%E2%80%9D%E7%82%AET3.jpg</t>
  </si>
  <si>
    <t>https://patchwiki.biligame.com/images/blhx/thumb/3/33/pt3x8admb3681z90693x9fvrsm1zfpb.jpg/30px-%E6%AF%98%E5%BC%8F40mm%E8%BF%9E%E8%A3%85%E6%9C%BA%E6%9E%AAT1.jpg</t>
  </si>
  <si>
    <t>https://patchwiki.biligame.com/images/blhx/thumb/0/0f/onrwijhw1mhcdlfyg86cby00t4cyjbh.jpg/30px-%E6%AF%98%E5%BC%8F40mm%E8%BF%9E%E8%A3%85%E6%9C%BA%E6%9E%AAT2.jpg</t>
  </si>
  <si>
    <t>https://patchwiki.biligame.com/images/blhx/thumb/5/5b/czleoau26s43ucva2bb1vdasdisps09.jpg/30px-%E6%AF%98%E5%BC%8F40mm%E8%BF%9E%E8%A3%85%E6%9C%BA%E6%9E%AAT3.jpg</t>
  </si>
  <si>
    <t>https://patchwiki.biligame.com/images/blhx/thumb/5/5d/63hj64krjuupgt53u088s67rh616u7j.jpg/30px-%E8%AF%95%E4%BD%9C%E5%9E%8B%E4%BA%94%E5%BC%8F40mm%E9%AB%98%E5%B0%84%E6%9C%BA%E5%85%B3%E7%82%AET0.jpg</t>
  </si>
  <si>
    <t>https://patchwiki.biligame.com/images/blhx/thumb/1/19/5bbu76jgeibk8ed1djxwkr2pe4rd3iy.jpg/30px-%E4%B8%89%E8%81%94%E8%A3%85533mm%E7%A3%81%E6%80%A7%E9%B1%BC%E9%9B%B7T1.jpg</t>
  </si>
  <si>
    <t>异色格A2、异色格C2、复刻异色格A2、复刻异色格C2、激奏的PolarisSP2</t>
  </si>
  <si>
    <t>https://patchwiki.biligame.com/images/blhx/thumb/f/f5/l44wmjz0ng4lacews4nxwgj1uvbp7n6.jpg/30px-%E4%B8%89%E8%81%94%E8%A3%85533mm%E7%A3%81%E6%80%A7%E9%B1%BC%E9%9B%B7T2.jpg</t>
  </si>
  <si>
    <t>https://patchwiki.biligame.com/images/blhx/thumb/b/b2/68hbxca557wl7xu3flaa9zhafkjq5j6.jpg/30px-%E4%B8%89%E8%81%94%E8%A3%85533mm%E7%A3%81%E6%80%A7%E9%B1%BC%E9%9B%B7T3.jpg</t>
  </si>
  <si>
    <t>https://patchwiki.biligame.com/images/blhx/thumb/c/c8/d47a0d90l8w6hyngs8fogoh29zjy64l.jpg/30px-%E4%B8%89%E8%81%94%E8%A3%85533mm%E9%B1%BC%E9%9B%B7T1.jpg</t>
  </si>
  <si>
    <t>https://patchwiki.biligame.com/images/blhx/thumb/d/d4/7e6l4fiag3irhdpnwb1yyx8uqlnggov.jpg/30px-%E4%B8%89%E8%81%94%E8%A3%85550mm%E9%B1%BC%E9%9B%B7T1.jpg</t>
  </si>
  <si>
    <t>https://patchwiki.biligame.com/images/blhx/thumb/e/e3/8uia4crsok1dz748p2z1bujd310asuu.jpg/30px-%E4%B8%89%E8%81%94%E8%A3%85550mm%E9%B1%BC%E9%9B%B7T3.jpg</t>
  </si>
  <si>
    <t>https://patchwiki.biligame.com/images/blhx/thumb/8/85/kcmrl9qp461c1dey16hx6wr4xu5lqo8.jpg/30px-%E4%B8%89%E8%81%94%E8%A3%85610mm%E9%B1%BC%E9%9B%B7T1.jpg</t>
  </si>
  <si>
    <t>https://patchwiki.biligame.com/images/blhx/thumb/d/d7/mmdcgef1sqs6rgs30chtqrbsu8mjkor.jpg/30px-%E4%B8%89%E8%81%94%E8%A3%85610mm%E9%B1%BC%E9%9B%B7T2.jpg</t>
  </si>
  <si>
    <t>https://patchwiki.biligame.com/images/blhx/thumb/7/74/3ghewgnkvkf8nyzh1fwyz1zo1dte7t5.jpg/30px-%E4%B8%89%E8%81%94%E8%A3%85610mm%E9%B1%BC%E9%9B%B7T3.jpg</t>
  </si>
  <si>
    <t>https://patchwiki.biligame.com/images/blhx/thumb/8/89/c7jfioaxhn3qihv1x2cubwkdhjfsnqk.jpg/30px-%E4%BA%94%E8%81%94%E8%A3%85533mm%E7%A3%81%E6%80%A7%E9%B1%BC%E9%9B%B7T1.jpg</t>
  </si>
  <si>
    <t>https://patchwiki.biligame.com/images/blhx/thumb/d/d0/gvkz3yqbupdo5g94xdu4b2dzq7qfrwa.jpg/30px-%E4%BA%94%E8%81%94%E8%A3%85533mm%E7%A3%81%E6%80%A7%E9%B1%BC%E9%9B%B7T2.jpg</t>
  </si>
  <si>
    <t>https://patchwiki.biligame.com/images/blhx/thumb/0/06/2qzsbrm53vv0rlpn4bh44zih93awetb.jpg/30px-%E4%BA%94%E8%81%94%E8%A3%85533mm%E7%A3%81%E6%80%A7%E9%B1%BC%E9%9B%B7T3.jpg</t>
  </si>
  <si>
    <t>https://patchwiki.biligame.com/images/blhx/thumb/2/25/8ec7nje0sscu67938o6fsccem2ac6vu.jpg/30px-%E5%8F%8C%E8%81%94%E8%A3%85550mm%E9%B1%BC%E9%9B%B7T1.jpg</t>
  </si>
  <si>
    <t>https://patchwiki.biligame.com/images/blhx/thumb/0/05/cpse57x9gzafi4un8hcce5eqfto7b1c.jpg/30px-%E5%8F%8C%E8%81%94%E8%A3%85550mm%E9%B1%BC%E9%9B%B7T3.jpg</t>
  </si>
  <si>
    <t>https://patchwiki.biligame.com/images/blhx/thumb/9/9d/87vrws1a592vy8eg6ruyx9fgoybittq.jpg/30px-%E5%8F%8C%E8%81%94%E8%A3%85610mm%E9%B1%BC%E9%9B%B7T1.jpg</t>
  </si>
  <si>
    <t>https://patchwiki.biligame.com/images/blhx/thumb/5/54/5j7by7b8r32xo6ux0vhpbygwllsgutd.jpg/30px-%E5%8F%8C%E8%81%94%E8%A3%85610mm%E9%B1%BC%E9%9B%B7T2.jpg</t>
  </si>
  <si>
    <t>https://patchwiki.biligame.com/images/blhx/thumb/f/f8/ketjrafrmfxu1qa9smcafpunrg7x0kp.jpg/30px-%E5%8F%8C%E8%81%94%E8%A3%85610mm%E9%B1%BC%E9%9B%B7T3.jpg</t>
  </si>
  <si>
    <t>https://patchwiki.biligame.com/images/blhx/thumb/8/89/9tcxfbka0mlooos4fyc98vj2sru8ykx.jpg/30px-%E5%9B%9B%E8%81%94%E8%A3%85533mm%E7%A3%81%E6%80%A7%E9%B1%BC%E9%9B%B7T1.jpg</t>
  </si>
  <si>
    <t>https://patchwiki.biligame.com/images/blhx/thumb/b/bd/bxch171mr2dp1pu75j69ul61g8671c2.jpg/30px-%E5%9B%9B%E8%81%94%E8%A3%85533mm%E7%A3%81%E6%80%A7%E9%B1%BC%E9%9B%B7T2.jpg</t>
  </si>
  <si>
    <t>https://patchwiki.biligame.com/images/blhx/thumb/2/24/5zxnaeuqa8zyok2xoqxe9nn3vosbibq.jpg/30px-%E5%9B%9B%E8%81%94%E8%A3%85533mm%E7%A3%81%E6%80%A7%E9%B1%BC%E9%9B%B7T3.jpg</t>
  </si>
  <si>
    <t>https://patchwiki.biligame.com/images/blhx/thumb/8/8b/5ls4l8kjorvcqa74qbcg1erw8zynck2.jpg/30px-%E5%9B%9B%E8%81%94%E8%A3%85610mm%E9%B1%BC%E9%9B%B7T1.jpg</t>
  </si>
  <si>
    <t>https://patchwiki.biligame.com/images/blhx/thumb/4/47/nwkg38j04yz784dp2jtlqsdpbppcdm1.jpg/30px-%E5%9B%9B%E8%81%94%E8%A3%85610mm%E9%B1%BC%E9%9B%B7T2.jpg</t>
  </si>
  <si>
    <t>https://patchwiki.biligame.com/images/blhx/thumb/5/5a/o0psttqm4gcdhuicc2aphcp5nxl99p2.jpg/30px-%E5%9B%9B%E8%81%94%E8%A3%85610mm%E9%B1%BC%E9%9B%B7T3.jpg</t>
  </si>
  <si>
    <t>https://patchwiki.biligame.com/images/blhx/thumb/e/ed/rwkf5n9spk2t3lxhy4y41kue6efr9ma.jpg/30px-%E6%BD%9C%E8%89%87%E7%94%A8550mm24V%E9%B1%BC%E9%9B%B7T1.jpg</t>
  </si>
  <si>
    <t>https://patchwiki.biligame.com/images/blhx/thumb/1/11/c96q0i8a5syzt0cq2tqbcrx6x6wvoig.jpg/30px-%E6%BD%9C%E8%89%87%E7%94%A8550mm24V%E9%B1%BC%E9%9B%B7T2.jpg</t>
  </si>
  <si>
    <t>https://patchwiki.biligame.com/images/blhx/thumb/0/05/eojs3hf4qsqk4ld5zpe56480qjdgbtz.jpg/30px-%E6%BD%9C%E8%89%87%E7%94%A8550mm24V%E9%B1%BC%E9%9B%B7T3.jpg</t>
  </si>
  <si>
    <t>https://patchwiki.biligame.com/images/blhx/thumb/d/d0/dlwyl7lpe2aee28dilvhefmdax11z2y.jpg/30px-%E6%BD%9C%E8%89%87%E7%94%A892%E5%BC%8F%E6%BD%9C%E5%B0%84%E9%B1%BC%E9%9B%B7T1.jpg</t>
  </si>
  <si>
    <t>海域救援、破交作战</t>
  </si>
  <si>
    <t>https://patchwiki.biligame.com/images/blhx/thumb/6/68/2dxx8w8z4mo2g1o2xxof27ee8kguo8j.jpg/30px-%E6%BD%9C%E8%89%87%E7%94%A892%E5%BC%8F%E6%BD%9C%E5%B0%84%E9%B1%BC%E9%9B%B7T2.jpg</t>
  </si>
  <si>
    <t>https://patchwiki.biligame.com/images/blhx/thumb/8/82/lh4lddo19n7vzmrn1lcqvmza7x3yvx4.jpg/30px-%E6%BD%9C%E8%89%87%E7%94%A892%E5%BC%8F%E6%BD%9C%E5%B0%84%E9%B1%BC%E9%9B%B7T3.jpg</t>
  </si>
  <si>
    <t>https://patchwiki.biligame.com/images/blhx/thumb/8/88/2gkgdd5h3lbp0ko60nrymryen19j9aa.jpg/30px-%E6%BD%9C%E8%89%87%E7%94%A895%E5%BC%8F%E7%BA%AF%E6%B0%A7%E9%B1%BC%E9%9B%B7T2.jpg</t>
  </si>
  <si>
    <t>https://patchwiki.biligame.com/images/blhx/thumb/d/d2/ot9ew7yi8m654jzsprbyydv0a9tt4ng.jpg/30px-%E6%BD%9C%E8%89%87%E7%94%A895%E5%BC%8F%E7%BA%AF%E6%B0%A7%E9%B1%BC%E9%9B%B7T3.jpg</t>
  </si>
  <si>
    <t>https://patchwiki.biligame.com/images/blhx/thumb/8/84/59jxbwizk8bo92saklf5m7bki6bsldu.jpg/30px-%E6%BD%9C%E8%89%87%E7%94%A8G7a%E9%B1%BC%E9%9B%B7T1.jpg</t>
  </si>
  <si>
    <t>海域救援、破交作战、最重要的宝物SP2</t>
  </si>
  <si>
    <t>https://patchwiki.biligame.com/images/blhx/thumb/9/9e/0i89o87uhyh8d3v9ypkt0kf4j0blx4g.jpg/30px-%E6%BD%9C%E8%89%87%E7%94%A8G7a%E9%B1%BC%E9%9B%B7T2.jpg</t>
  </si>
  <si>
    <t>https://patchwiki.biligame.com/images/blhx/thumb/9/9e/6red9t06prttfdrmfx4w9kwyuu4kyz5.jpg/30px-%E6%BD%9C%E8%89%87%E7%94%A8G7a%E9%B1%BC%E9%9B%B7T3.jpg</t>
  </si>
  <si>
    <t>https://patchwiki.biligame.com/images/blhx/thumb/d/d2/adxjc9w586avrysxzm9anq8uk0aq5uo.jpg/30px-%E6%BD%9C%E8%89%87%E7%94%A8G7e%E5%A3%B0%E5%AF%BC%E9%B1%BC%E9%9B%B7T1.jpg</t>
  </si>
  <si>
    <t>https://patchwiki.biligame.com/images/blhx/thumb/f/fa/cwqdrk9p7ykkxwbkcxpdxzskx5ua6yn.jpg/30px-%E6%BD%9C%E8%89%87%E7%94%A8G7e%E5%A3%B0%E5%AF%BC%E9%B1%BC%E9%9B%B7T2.jpg</t>
  </si>
  <si>
    <t>https://patchwiki.biligame.com/images/blhx/thumb/c/cd/a4oiqdfp9scgx8zk9u3oh9y0teu4uoy.jpg/30px-%E6%BD%9C%E8%89%87%E7%94%A8G7e%E5%A3%B0%E5%AF%BC%E9%B1%BC%E9%9B%B7T3.jpg</t>
  </si>
  <si>
    <t>https://patchwiki.biligame.com/images/blhx/thumb/9/9e/nzuwi1dzb5ki05ame8jxck0eqjnefak.jpg/30px-%E6%BD%9C%E8%89%87%E7%94%A8Mark14%E9%B1%BC%E9%9B%B7T1.jpg</t>
  </si>
  <si>
    <t>https://patchwiki.biligame.com/images/blhx/thumb/f/f6/h0l76c69c4oecfv67kc9dszez1ae1rk.jpg/30px-%E6%BD%9C%E8%89%87%E7%94%A8Mark14%E9%B1%BC%E9%9B%B7T2.jpg</t>
  </si>
  <si>
    <t>https://patchwiki.biligame.com/images/blhx/thumb/2/28/oh4vqz3sfno91e4idz3jc8pa88ab0qm.jpg/30px-%E6%BD%9C%E8%89%87%E7%94%A8Mark14%E9%B1%BC%E9%9B%B7T3.jpg</t>
  </si>
  <si>
    <t>https://patchwiki.biligame.com/images/blhx/thumb/2/23/h0jfgq5eraainssx3mktjgwyg2n4232.jpg/30px-%E6%BD%9C%E8%89%87%E7%94%A8Mark16%E9%B1%BC%E9%9B%B7T1.jpg</t>
  </si>
  <si>
    <t>https://patchwiki.biligame.com/images/blhx/thumb/e/e6/l1zu5enfseqx58awi4knzxqelil3t6d.jpg/30px-%E6%BD%9C%E8%89%87%E7%94%A8Mark16%E9%B1%BC%E9%9B%B7T2.jpg</t>
  </si>
  <si>
    <t>https://patchwiki.biligame.com/images/blhx/thumb/9/9f/az6gg2a5gcztw32clmsjpp58x1jlh3z.jpg/30px-%E6%BD%9C%E8%89%87%E7%94%A8Mark16%E9%B1%BC%E9%9B%B7T3.jpg</t>
  </si>
  <si>
    <t>https://patchwiki.biligame.com/images/blhx/thumb/2/25/39u8xm2i1qdkadm34rpttr8cd3b5k00.jpg/30px-BF-109T%E8%88%B0%E8%BD%BD%E6%88%98%E6%96%97%E6%9C%BAT1.jpg</t>
  </si>
  <si>
    <t>异色格A3、异色格B1、异色格C3、异色格D1、复刻异色格A3、复刻异色格B1、复刻异色格C3、复刻异色格D1</t>
  </si>
  <si>
    <t>https://patchwiki.biligame.com/images/blhx/thumb/9/9a/l43rfzrpt6essuk1t6oskjgyde6g81r.jpg/30px-BF-109T%E8%88%B0%E8%BD%BD%E6%88%98%E6%96%97%E6%9C%BAT2.jpg</t>
  </si>
  <si>
    <t>异色格A4、异色格B1、异色格C4、异色格D1、凛冬王冠B2、凛冬王冠D2、复刻异色格A4、复刻异色格B1、复刻异色格C4、复刻异色格D1</t>
  </si>
  <si>
    <t>https://patchwiki.biligame.com/images/blhx/thumb/e/e9/7hlav9sj96ivjbfmaa7fvclljstz468.jpg/30px-BF-109T%E8%88%B0%E8%BD%BD%E6%88%98%E6%96%97%E6%9C%BAT3.jpg</t>
  </si>
  <si>
    <t>https://patchwiki.biligame.com/images/blhx/thumb/2/2c/p6o0pjkrt1rxis5aqwgzrghp8sr8ntf.jpg/30px-BTD-1%E6%AF%81%E7%81%AD%E8%80%85T1.jpg</t>
  </si>
  <si>
    <t>https://patchwiki.biligame.com/images/blhx/thumb/6/6a/b63ohcg0me56u9x4yznh7nmax3756t9.jpg/30px-BTD-1%E6%AF%81%E7%81%AD%E8%80%85T2.jpg</t>
  </si>
  <si>
    <t>https://patchwiki.biligame.com/images/blhx/thumb/2/21/7rsfayc614nbobotg6wcoclmmq6b1r0.jpg/30px-BTD-1%E6%AF%81%E7%81%AD%E8%80%85T3.jpg</t>
  </si>
  <si>
    <t>https://patchwiki.biligame.com/images/blhx/thumb/4/40/4m4ec99y8x1fb1c1wpuq8lp55v7ed1b.jpg/30px-F2A%E6%B0%B4%E7%89%9B%28%E8%90%A8%E5%A5%87%E9%98%9F%29T0.jpg</t>
  </si>
  <si>
    <t>https://patchwiki.biligame.com/images/blhx/thumb/2/22/aq4wk951ng1x4aw2dhq1kdiih2j3kkw.jpg/30px-F2A%E6%B0%B4%E7%89%9BT1.jpg</t>
  </si>
  <si>
    <t>https://patchwiki.biligame.com/images/blhx/thumb/f/f2/3f27ik4v7nt8j828nc737c1ktvm2cpb.jpg/30px-F2A%E6%B0%B4%E7%89%9BT2.jpg</t>
  </si>
  <si>
    <t>https://patchwiki.biligame.com/images/blhx/thumb/5/58/1vm2clfdgh8yusuapiillftqrptb7y2.jpg/30px-F2A%E6%B0%B4%E7%89%9BT3.jpg</t>
  </si>
  <si>
    <t>https://patchwiki.biligame.com/images/blhx/thumb/d/df/swicmzpas6nyo30l6d6fgqwe9etiq5m.jpg/30px-F4F%E9%87%8E%E7%8C%ABT1.jpg</t>
  </si>
  <si>
    <t>https://patchwiki.biligame.com/images/blhx/thumb/f/fa/jaakfkfpqgjqnizu5g0ip0n6bbytthe.jpg/30px-F4F%E9%87%8E%E7%8C%ABT2.jpg</t>
  </si>
  <si>
    <t>https://patchwiki.biligame.com/images/blhx/thumb/7/70/nb47rkr4w0mzzbyc3lj0iyaj6t3kepm.jpg/30px-F4F%E9%87%8E%E7%8C%ABT3.jpg</t>
  </si>
  <si>
    <t>https://patchwiki.biligame.com/images/blhx/thumb/2/2c/2lebct4aeg9yecf0j1kvzip1he4y7ga.jpg/30px-F4U%E6%B5%B7%E7%9B%97T1.jpg</t>
  </si>
  <si>
    <t>https://patchwiki.biligame.com/images/blhx/thumb/0/0a/237sr3rqrvodkl04xonedr06vtdaw6e.jpg/30px-F4U%E6%B5%B7%E7%9B%97T2.jpg</t>
  </si>
  <si>
    <t>https://patchwiki.biligame.com/images/blhx/thumb/f/fd/rvdebgqrp19k2e3k6snsrwequltgkzs.jpg/30px-F4U%E6%B5%B7%E7%9B%97T3.jpg</t>
  </si>
  <si>
    <t>https://patchwiki.biligame.com/images/blhx/thumb/3/34/ipezqzmhadztub3j8dirudpeju38dix.jpg/30px-F4U%EF%BC%88VF-17%E2%80%9C%E6%B5%B7%E7%9B%97%E2%80%9D%E4%B8%AD%E9%98%9F%EF%BC%89T0.jpg</t>
  </si>
  <si>
    <t>https://patchwiki.biligame.com/images/blhx/thumb/2/28/jlz8jy6aeidf81wit9kebq08yardhaf.jpg/30px-F6F%E5%9C%B0%E7%8B%B1%E7%8C%ABT1.jpg</t>
  </si>
  <si>
    <t>https://patchwiki.biligame.com/images/blhx/thumb/1/1d/ildup9knopkgqe1t0u4jlq9rvw3sri9.jpg/30px-F6F%E5%9C%B0%E7%8B%B1%E7%8C%ABT2.jpg</t>
  </si>
  <si>
    <t>5-2、13-3、坠落之翼D3、复刻坠落之翼D3、铁血音符誓言C2</t>
  </si>
  <si>
    <t>https://patchwiki.biligame.com/images/blhx/thumb/c/c5/92od0399e6u873nyo9g2gq57uv1ukj6.jpg/30px-F6F%E5%9C%B0%E7%8B%B1%E7%8C%ABT3.jpg</t>
  </si>
  <si>
    <t>https://patchwiki.biligame.com/images/blhx/thumb/d/d2/6z3u5e4al2lb85p5y6ir4tjfe3znjiv.jpg/30px-Ju-87C%E4%BF%AF%E5%86%B2%E8%BD%B0%E7%82%B8%E6%9C%BAT1.jpg</t>
  </si>
  <si>
    <t>https://patchwiki.biligame.com/images/blhx/thumb/b/bc/epubqpvqjy5hi9v9051by330b40s3y1.jpg/30px-Ju-87C%E4%BF%AF%E5%86%B2%E8%BD%B0%E7%82%B8%E6%9C%BAT2.jpg</t>
  </si>
  <si>
    <t>异色格A4、异色格B2、异色格C4、异色格D2、复刻异色格A4、复刻异色格B2、复刻异色格C4、复刻异色格D2、虚拟与真实的双向镜T5、虚拟与真实的双向镜SP</t>
  </si>
  <si>
    <t>https://patchwiki.biligame.com/images/blhx/thumb/1/11/stig925hwiyitvz9rthl9nuxuwtrajx.jpg/30px-Ju-87C%E4%BF%AF%E5%86%B2%E8%BD%B0%E7%82%B8%E6%9C%BAT3.jpg</t>
  </si>
  <si>
    <t>https://patchwiki.biligame.com/images/blhx/thumb/7/7e/jn6prmc3ugx5dukcstvx1qavidxhxn4.jpg/30px-Me-155A%E8%88%B0%E8%BD%BD%E6%88%98%E6%96%97%E6%9C%BAT1.jpg</t>
  </si>
  <si>
    <t>异色格B4、异色格D4、七夕Sp3、复刻异色格B2、复刻异色格D2</t>
  </si>
  <si>
    <t>https://patchwiki.biligame.com/images/blhx/thumb/8/8e/ov7y0bb5b7sx43g2cdwiyyxmr3q4nbe.jpg/30px-Me-155A%E8%88%B0%E8%BD%BD%E6%88%98%E6%96%97%E6%9C%BAT2.jpg</t>
  </si>
  <si>
    <t>https://patchwiki.biligame.com/images/blhx/thumb/9/9d/jxqu9wpyfdczb1dnyd1rk8v11z442u2.jpg/30px-Me-155A%E8%88%B0%E8%BD%BD%E6%88%98%E6%96%97%E6%9C%BAT3.jpg</t>
  </si>
  <si>
    <t>https://patchwiki.biligame.com/images/blhx/thumb/5/52/gwxooobuq5ublg8wn42wtpw9uwd5mqu.jpg/30px-SB2C%E5%9C%B0%E7%8B%B1%E4%BF%AF%E5%86%B2%E8%80%85T1.jpg</t>
  </si>
  <si>
    <t>https://patchwiki.biligame.com/images/blhx/thumb/6/66/lhuocfka4apuxp5cgxjn3q2ocvne7r7.jpg/30px-SB2C%E5%9C%B0%E7%8B%B1%E4%BF%AF%E5%86%B2%E8%80%85T2.jpg</t>
  </si>
  <si>
    <t>https://patchwiki.biligame.com/images/blhx/thumb/0/04/9s7q72zqdgm6wbhikzu9ycbv1hllg6l.jpg/30px-SB2C%E5%9C%B0%E7%8B%B1%E4%BF%AF%E5%86%B2%E8%80%85T3.jpg</t>
  </si>
  <si>
    <t>https://patchwiki.biligame.com/images/blhx/thumb/5/56/f2oy37wt1a3u386cq3jz7q9uyu351ji.jpg/30px-SBD%E6%97%A0%E7%95%8F%28%E9%BA%A6%E5%85%8B%E6%8B%89%E6%96%AF%E5%9F%BA%E9%98%9F%29T0.jpg</t>
  </si>
  <si>
    <t>https://patchwiki.biligame.com/images/blhx/thumb/c/c3/chxcw5lvlrkxtsth13eercswjvpxx8c.jpg/30px-SBD%E6%97%A0%E7%95%8FT1.jpg</t>
  </si>
  <si>
    <t>https://patchwiki.biligame.com/images/blhx/thumb/7/78/onl0ebxm0v04fsn684s6a548d22l4r7.jpg/30px-SBD%E6%97%A0%E7%95%8FT2.jpg</t>
  </si>
  <si>
    <t>https://patchwiki.biligame.com/images/blhx/thumb/1/19/ojoacj7z1hruedms2wsshlv6qt5zaly.jpg/30px-SBD%E6%97%A0%E7%95%8FT3.jpg</t>
  </si>
  <si>
    <t>https://patchwiki.biligame.com/images/blhx/thumb/c/c6/jvy92klh9ivw8c13lj32ftmmxk680d1.jpg/30px-TBD%E8%B9%82%E8%BA%8F%E8%80%85%28VT-8%E4%B8%AD%E9%98%9F%29T0.jpg</t>
  </si>
  <si>
    <t>https://patchwiki.biligame.com/images/blhx/thumb/d/db/q014jv67l6h6w1uhe1gut431oifc8xj.jpg/30px-TBD%E8%B9%82%E8%BA%8F%E8%80%85T1.jpg</t>
  </si>
  <si>
    <t>https://patchwiki.biligame.com/images/blhx/thumb/f/f0/i0f9xshis8xsqtti72qse6tspc2lvn5.jpg/30px-TBD%E8%B9%82%E8%BA%8F%E8%80%85T2.jpg</t>
  </si>
  <si>
    <t>https://patchwiki.biligame.com/images/blhx/thumb/0/02/qnpioidqzf0lw4imv329yonk2ugd76x.jpg/30px-TBD%E8%B9%82%E8%BA%8F%E8%80%85T3.jpg</t>
  </si>
  <si>
    <t>https://patchwiki.biligame.com/images/blhx/thumb/f/f7/d4hozpq8blwhpxkrugqzwd6d9q83zg9.jpg/30px-TBF%E5%A4%8D%E4%BB%87%E8%80%85T1.jpg</t>
  </si>
  <si>
    <t>https://patchwiki.biligame.com/images/blhx/thumb/3/32/6fy6titynve3iokh2sz77645lc5s2wt.jpg/30px-TBF%E5%A4%8D%E4%BB%87%E8%80%85T2.jpg</t>
  </si>
  <si>
    <t>https://patchwiki.biligame.com/images/blhx/thumb/9/9b/5upk8revbhwbxt6o309lumaxp1q0hge.jpg/30px-TBF%E5%A4%8D%E4%BB%87%E8%80%85T3.jpg</t>
  </si>
  <si>
    <t>https://patchwiki.biligame.com/images/blhx/thumb/f/f5/n0zcuaklxing3cvk9ln3ewpxsv5vmwf.jpg/30px-XF5F%E5%A4%A9%E7%AE%ADT0.jpg</t>
  </si>
  <si>
    <t>https://patchwiki.biligame.com/images/blhx/thumb/4/45/g1soaxffrp1baqiybquvhwyl015c7u9.jpg/30px-%E4%B9%9D%E4%B8%83%E5%BC%8F%E8%88%B0%E6%94%BBT1.jpg</t>
  </si>
  <si>
    <t>https://patchwiki.biligame.com/images/blhx/thumb/5/53/n8n1z0gge09vteplx676gg43tw424fn.jpg/30px-%E4%B9%9D%E4%B8%83%E5%BC%8F%E8%88%B0%E6%94%BBT2.jpg</t>
  </si>
  <si>
    <t>https://patchwiki.biligame.com/images/blhx/thumb/f/fe/hy9ytatnt6op6wbr2ztce4cpyaa9ae0.jpg/30px-%E4%B9%9D%E4%B9%9D%E5%BC%8F%E8%88%B0%E7%88%86T1.jpg</t>
  </si>
  <si>
    <t>https://patchwiki.biligame.com/images/blhx/thumb/c/c6/8exhz7ctt19668lt0ir2437vbvowvyk.jpg/30px-%E4%B9%9D%E4%B9%9D%E5%BC%8F%E8%88%B0%E7%88%86T2.jpg</t>
  </si>
  <si>
    <t>3-3、12-3、努力希望计划SP1、红染B3、红染D3、斯图尔特的硝烟SP3</t>
  </si>
  <si>
    <t>https://patchwiki.biligame.com/images/blhx/thumb/0/08/6ayz0d5qxqwf9ay3za1ukkldjrdmi2w.jpg/30px-%E4%B9%9D%E4%B9%9D%E5%BC%8F%E8%88%B0%E7%88%86T3.jpg</t>
  </si>
  <si>
    <t>https://patchwiki.biligame.com/images/blhx/thumb/5/51/jgtc0x2o6oazlojmku6np3hgghc3dxy.jpg/30px-%E4%B9%9D%E5%85%AD%E5%BC%8F%E8%88%B0%E6%88%98T1.jpg</t>
  </si>
  <si>
    <t>https://patchwiki.biligame.com/images/blhx/thumb/e/e4/ks4ki1cfms3c7srqmre2ubstq0fpe8t.jpg/30px-%E4%B9%9D%E5%85%AD%E5%BC%8F%E8%88%B0%E6%88%98T2.jpg</t>
  </si>
  <si>
    <t>2-3、浮樱影华A1</t>
  </si>
  <si>
    <t>https://patchwiki.biligame.com/images/blhx/thumb/2/20/fii3yphv75umlnrbmrdk46602duorfg.jpg/30px-%E4%B9%9D%E5%85%AD%E5%BC%8F%E8%88%B0%E6%88%98T3.jpg</t>
  </si>
  <si>
    <t>https://patchwiki.biligame.com/images/blhx/thumb/f/fe/6s8h43q6pj9g44ntswuy99pxro4b1d5.jpg/30px-%E5%89%91%E9%B1%BC%28818%E4%B8%AD%E9%98%9F%29T0.jpg</t>
  </si>
  <si>
    <t>https://patchwiki.biligame.com/images/blhx/thumb/9/9b/r904e2se57otkai205pwnq9usm8h5hv.jpg/30px-%E5%89%91%E9%B1%BCT1.jpg</t>
  </si>
  <si>
    <t>https://patchwiki.biligame.com/images/blhx/thumb/0/02/071y0zjj7qazpcu0zmfgywyrixqtgoy.jpg/30px-%E5%89%91%E9%B1%BCT2.jpg</t>
  </si>
  <si>
    <t>https://patchwiki.biligame.com/images/blhx/thumb/2/21/bns2u8wrupnsi88np46i9cvwjf66kdn.jpg/30px-%E5%89%91%E9%B1%BCT3.jpg</t>
  </si>
  <si>
    <t>https://patchwiki.biligame.com/images/blhx/thumb/0/02/1rs7hi2g7xc14ytc28ntcm4dfj9o36m.jpg/30px-%E5%A4%A9%E5%B1%B1T1.jpg</t>
  </si>
  <si>
    <t>穿越彼方的水线</t>
  </si>
  <si>
    <t>https://patchwiki.biligame.com/images/blhx/thumb/e/e1/12pbd9eehzfr036rou9ht9uzzo421um.jpg/30px-%E5%A4%A9%E5%B1%B1T2.jpg</t>
  </si>
  <si>
    <t>5-4、12-4、13-4、努力希望计划SP1、红染B2、红染D2、墨染B2、墨染D2、斯图尔特的硝烟SP3、复刻墨染B2、复刻墨染D2、穿越彼方的水线、浮樱影华A1、浮樱影华C1、浮樱影华SP、北境序曲B2、北境序曲D2</t>
  </si>
  <si>
    <t>https://patchwiki.biligame.com/images/blhx/thumb/5/5e/jkx34xy8sampqeabu4ljrgx996obze9.jpg/30px-%E5%A4%A9%E5%B1%B1T3.jpg</t>
  </si>
  <si>
    <t>https://patchwiki.biligame.com/images/blhx/thumb/2/21/srgvuev9avh89geryiekgm661nm4iyv.jpg/30px-%E5%BD%97%E6%98%9FT1.jpg</t>
  </si>
  <si>
    <t>5-2、12-3、13-4、红染B3、红染D3、斯图尔特的硝烟SP3、穿越彼方的水线、浮樱影华C1、浮樱影华SP</t>
  </si>
  <si>
    <t>https://patchwiki.biligame.com/images/blhx/thumb/c/cc/r65y30gs9tqw34y12i4dqofpvi4pgoo.jpg/30px-%E5%BD%97%E6%98%9FT2.jpg</t>
  </si>
  <si>
    <t>12-3、红染B3、红染D3、斯图尔特的硝烟SP3</t>
  </si>
  <si>
    <t>https://patchwiki.biligame.com/images/blhx/thumb/0/05/qmi1r65rl0ihxjitc0lrf6hs1sy9gl7.jpg/30px-%E5%BD%97%E6%98%9FT3.jpg</t>
  </si>
  <si>
    <t>https://patchwiki.biligame.com/images/blhx/thumb/8/8b/928pzrwbm3k3b9yrdt9yvwtkh9gl821.jpg/30px-%E6%99%B4%E5%B2%9AT0.jpg</t>
  </si>
  <si>
    <t>https://patchwiki.biligame.com/images/blhx/thumb/a/a4/9xq1yyh793342ewuzsk897aipx8f4cp.jpg/30px-%E6%A2%AD%E9%B1%BC%28831%E4%B8%AD%E9%98%9F%29T0.jpg</t>
  </si>
  <si>
    <t>https://patchwiki.biligame.com/images/blhx/thumb/3/34/ieswi2kdxxel01onogbsieoext7e3z3.jpg/30px-%E6%A2%AD%E9%B1%BCT1.jpg</t>
  </si>
  <si>
    <t>7-2、七夕Sp2、异次元SP2、凛冬王冠B2、凛冬王冠D2、虚拟链接的共时性SP2、铁血音符誓言A3、铁血音符誓言C3、北境序曲B2、北境序曲D2</t>
  </si>
  <si>
    <t>https://patchwiki.biligame.com/images/blhx/thumb/1/10/ktwr23abxmpnzj2hytcb8rf6wez4ezm.jpg/30px-%E6%A2%AD%E9%B1%BCT2.jpg</t>
  </si>
  <si>
    <t>七夕Sp2、光荣的一战SP2、铁血音符誓言C3、神圣的悲喜剧C3</t>
  </si>
  <si>
    <t>https://patchwiki.biligame.com/images/blhx/thumb/a/a9/4f3rfd97ljt5t4ea82y7a0dcfzgvd1t.jpg/30px-%E6%A2%AD%E9%B1%BCT3.jpg</t>
  </si>
  <si>
    <t>https://patchwiki.biligame.com/images/blhx/thumb/5/54/lpiqgh1plrl4kn23u8hn4imeggviizy.jpg/30px-%E6%B5%81%E6%98%9FT1.jpg</t>
  </si>
  <si>
    <t>红染B3、红染D3、穿越彼方的水线</t>
  </si>
  <si>
    <t>https://patchwiki.biligame.com/images/blhx/thumb/f/f0/ej9sg5fugo6a2bealpqx6qgo4nvh5a0.jpg/30px-%E6%B5%81%E6%98%9FT2.jpg</t>
  </si>
  <si>
    <t>红染D3、复刻红染D3、穿越彼方的水线</t>
  </si>
  <si>
    <t>https://patchwiki.biligame.com/images/blhx/thumb/0/00/nhncxlp5p4o7xqq1yanhqe89nvjo0ht.jpg/30px-%E6%B5%81%E6%98%9FT3.jpg</t>
  </si>
  <si>
    <t>https://patchwiki.biligame.com/images/blhx/thumb/f/fb/mtyzzwj7pbrb4tvkrli4kh39n4bjxhp.jpg/30px-%E6%B5%B7%E5%96%B7%E7%81%ABT1.jpg</t>
  </si>
  <si>
    <t>https://patchwiki.biligame.com/images/blhx/thumb/7/7c/t7ouibpn9ojoq82i9ghpfb4nz2j5pdt.jpg/30px-%E6%B5%B7%E5%96%B7%E7%81%ABT2.jpg</t>
  </si>
  <si>
    <t>https://patchwiki.biligame.com/images/blhx/thumb/6/60/bb8w1duk635q3jmnjq821bp3iajnt5e.jpg/30px-%E6%B5%B7%E5%96%B7%E7%81%ABT3.jpg</t>
  </si>
  <si>
    <t>https://patchwiki.biligame.com/images/blhx/thumb/b/ba/c44607wsj5rmlkdyh4mmkmwb0er552q.jpg/30px-%E6%B5%B7%E6%80%92T0.jpg</t>
  </si>
  <si>
    <t>https://patchwiki.biligame.com/images/blhx/thumb/c/c2/s54sag7ts27n54y6emq5k36n5w1eu0u.jpg/30px-%E6%B5%B7%E6%96%97%E5%A3%ABT1.jpg</t>
  </si>
  <si>
    <t>https://patchwiki.biligame.com/images/blhx/thumb/7/79/mo1oeo3wlm1i9u322d9rlsaiqy03eq7.jpg/30px-%E6%B5%B7%E6%96%97%E5%A3%ABT2.jpg</t>
  </si>
  <si>
    <t>https://patchwiki.biligame.com/images/blhx/thumb/c/c2/1do2k7aku2ea3717utjyapge6smunzg.jpg/30px-%E6%B5%B7%E6%96%97%E5%A3%ABT3.jpg</t>
  </si>
  <si>
    <t>https://patchwiki.biligame.com/images/blhx/thumb/5/59/lbzc19rr5t2x4cjwsw3ie2ki4t6lwve.jpg/30px-%E6%B5%B7%E6%AF%92%E7%89%99T1.jpg</t>
  </si>
  <si>
    <t>7-4、铅色SP2、铁血音符誓言A3、铁血音符誓言C3、神圣的悲喜剧A3、神圣的悲喜剧C3、北境序曲B2、北境序曲D2</t>
  </si>
  <si>
    <t>https://patchwiki.biligame.com/images/blhx/thumb/0/06/aq2lmvgkn49ifsv5lz33d389m5m25ak.jpg/30px-%E6%B5%B7%E6%AF%92%E7%89%99T2.jpg</t>
  </si>
  <si>
    <t>https://patchwiki.biligame.com/images/blhx/thumb/a/a3/9fmxk2y5ruhbvdqsdrj295r2mzpieit.jpg/30px-%E6%B5%B7%E6%AF%92%E7%89%99T3.jpg</t>
  </si>
  <si>
    <t>https://patchwiki.biligame.com/images/blhx/thumb/d/db/oy4idrjp05gxs9d2ltouuz1esm06g7k.jpg/30px-%E6%B5%B7%E7%87%95T1.jpg</t>
  </si>
  <si>
    <t>https://patchwiki.biligame.com/images/blhx/thumb/3/3c/gofxsd38ny02cwhejmq8fh3jnxslpqa.jpg/30px-%E6%B5%B7%E7%87%95T2.jpg</t>
  </si>
  <si>
    <t>7-1、努力希望计划SP1、凛冬王冠B2、凛冬王冠D2、传颂之物SP1、虚拟链接的共时性SP2、铁血音符誓言A2、铁血音符誓言C2、神圣的悲喜剧A3、神圣的悲喜剧C3</t>
  </si>
  <si>
    <t>https://patchwiki.biligame.com/images/blhx/thumb/b/b4/59v80cep5y4iopxj1nfxpc7ut0yhzo5.jpg/30px-%E6%B5%B7%E7%87%95T3.jpg</t>
  </si>
  <si>
    <t>https://patchwiki.biligame.com/images/blhx/thumb/0/09/50d3z1apzu005xzzi45d7rbhg36r52y.jpg/30px-%E7%83%88%E9%A3%8ET1.jpg</t>
  </si>
  <si>
    <t>红染B2、红染D2、穿越彼方的水线</t>
  </si>
  <si>
    <t>https://patchwiki.biligame.com/images/blhx/thumb/4/40/8s8rntfe4pi9z7fb25bbsv96kpylbmw.jpg/30px-%E7%83%88%E9%A3%8ET2.jpg</t>
  </si>
  <si>
    <t>https://patchwiki.biligame.com/images/blhx/thumb/e/e8/qaosfu6nboq1xogq9a5jazjbkfpbewc.jpg/30px-%E7%83%88%E9%A3%8ET3.jpg</t>
  </si>
  <si>
    <t>https://patchwiki.biligame.com/images/blhx/thumb/c/ce/q29kq45osrowx1ragtw7qstfxlkxz16.jpg/30px-%E7%91%9E%E4%BA%91T1.jpg</t>
  </si>
  <si>
    <t>https://patchwiki.biligame.com/images/blhx/thumb/2/21/c5p44yd6unwffmxoiuzlm4g0gr7h2bq.jpg/30px-%E7%91%9E%E4%BA%91T2.jpg</t>
  </si>
  <si>
    <t>https://patchwiki.biligame.com/images/blhx/thumb/6/65/mrybl42fk3mi3bwflfxpkkwe4337026.jpg/30px-%E7%91%9E%E4%BA%91T3.jpg</t>
  </si>
  <si>
    <t>https://patchwiki.biligame.com/images/blhx/thumb/9/98/l2eyg3lg0444w05ircwzbahti5uyrsn.jpg/30px-%E8%B4%BC%E9%B8%A5T1.jpg</t>
  </si>
  <si>
    <t>https://patchwiki.biligame.com/images/blhx/thumb/6/6a/gnhglw01u3jrvnerorrqj0n7wu5tsxa.jpg/30px-%E8%B4%BC%E9%B8%A5T2.jpg</t>
  </si>
  <si>
    <t>https://patchwiki.biligame.com/images/blhx/thumb/d/de/85b98hsh2y8twsjn90mvgjljole7tpw.jpg/30px-%E8%B4%BC%E9%B8%A5T3.jpg</t>
  </si>
  <si>
    <t>https://patchwiki.biligame.com/images/blhx/thumb/f/ff/r5yvupnqqqnjtm1aoi0o1cb69ej8j0e.jpg/30px-%E9%9B%B6%E6%88%98%E4%BA%8C%E4%B8%80%E5%9E%8BT1.jpg</t>
  </si>
  <si>
    <t>https://patchwiki.biligame.com/images/blhx/thumb/c/ce/oeqicyqxul5xzg4q7bts6l0izo8ofc9.jpg/30px-%E9%9B%B6%E6%88%98%E4%BA%8C%E4%B8%80%E5%9E%8BT2.jpg</t>
  </si>
  <si>
    <t>3-4、9-4、12-1、13-2、红染A3、红染C3、异次元SP2、浮樱影华A1、浮樱影华C1、浮樱影华SP</t>
  </si>
  <si>
    <t>https://patchwiki.biligame.com/images/blhx/thumb/2/22/hfku2hhamw2365mbsexmgfng5hpmcz7.jpg/30px-%E9%9B%B6%E6%88%98%E4%BA%8C%E4%B8%80%E5%9E%8BT3.jpg</t>
  </si>
  <si>
    <t>https://patchwiki.biligame.com/images/blhx/thumb/e/e8/gchue5be5vl0o7arcckdupecurutium.jpg/30px-%E9%9B%B6%E6%88%98%E4%BA%94%E4%BA%8C%E5%9E%8BT1.jpg</t>
  </si>
  <si>
    <t>5-1、9-3、12-1、13-2、七夕Sp1、红染B2、红染D2、虚拟链接的共时性Black-SP、穿越彼方的水线、浮樱影华C1、浮樱影华SP</t>
  </si>
  <si>
    <t>https://patchwiki.biligame.com/images/blhx/thumb/f/f0/c2qwwg7rws9wkyh2hcz46ts6d9bgy3s.jpg/30px-%E9%9B%B6%E6%88%98%E4%BA%94%E4%BA%8C%E5%9E%8BT2.jpg</t>
  </si>
  <si>
    <t>9-3、12-1、13-2、七夕Sp1、红染C3、虚拟链接的共时性Black-SP、虚拟与真实的双向镜T5、虚拟与真实的双向镜SP、浮樱影华C1、浮樱影华SP</t>
  </si>
  <si>
    <t>https://patchwiki.biligame.com/images/blhx/thumb/3/32/7m3lwmefj29na38z5oem2v3zkrg7yb9.jpg/30px-%E9%9B%B6%E6%88%98%E4%BA%94%E4%BA%8C%E5%9E%8BT3.jpg</t>
  </si>
  <si>
    <t>青花鱼T1</t>
  </si>
  <si>
    <t>https://patchwiki.biligame.com/images/blhx/thumb/7/7c/ik2h8pzkj76632ii3sc89lvh1k3rzac.jpg/30px-%E9%9D%92%E8%8A%B1%E9%B1%BCT1.jpg</t>
  </si>
  <si>
    <t>青花鱼T2</t>
  </si>
  <si>
    <t>神圣的悲喜剧A3</t>
  </si>
  <si>
    <t>https://patchwiki.biligame.com/images/blhx/thumb/3/34/k689lf7p095y9ifxqnq95qbcqsn1eux.jpg/30px-%E9%9D%92%E8%8A%B1%E9%B1%BCT2.jpg</t>
  </si>
  <si>
    <t>青花鱼T3</t>
  </si>
  <si>
    <t>神圣的悲喜剧A3、神圣的悲喜剧C3</t>
  </si>
  <si>
    <t>https://patchwiki.biligame.com/images/blhx/thumb/e/e6/krj9jtwyy9dbjujihkxbr5pubferkjp.jpg/30px-%E9%9D%92%E8%8A%B1%E9%B1%BCT3.jpg</t>
  </si>
  <si>
    <t>航母, 轻航, 航战</t>
  </si>
  <si>
    <t>高效燃油：提高舰载机巡航速度（5点），舰载机耐久增加140点。同类效果取最大值，不可叠加。</t>
  </si>
  <si>
    <t>https://patchwiki.biligame.com/images/blhx/thumb/d/d0/ov4xgtiy6k02fjheqkvqs4kswn6d6l4.jpg/30px-150%E5%8F%B7%E8%88%AA%E7%A9%BA%E7%87%83%E6%B2%B9T0.jpg</t>
  </si>
  <si>
    <t>驱逐, 轻巡, 重巡, 超巡, 战巡, 战列, 航母, 轻航, 重炮, 维修, 潜艇, 航战</t>
  </si>
  <si>
    <t>https://patchwiki.biligame.com/images/blhx/thumb/4/40/f0bknlyy1ajl7i9zh8yu3frawb15bzj.jpg/30px-94%E5%BC%8F%E9%AB%98%E5%B0%84%E8%A3%85%E7%BD%AET0.jpg</t>
  </si>
  <si>
    <t>https://patchwiki.biligame.com/images/blhx/thumb/d/d7/26lndfrgfcb0jm076212bzvp9iy5og2.jpg/30px-Fl-282%E7%9B%B4%E5%8D%87%E6%9C%BAT0.jpg</t>
  </si>
  <si>
    <t>Gamers的证明T0</t>
  </si>
  <si>
    <t>耐久初始：245强满：550</t>
  </si>
  <si>
    <t>装备后，视作hololive阵营（原阵营同样生效）</t>
  </si>
  <si>
    <t>https://patchwiki.biligame.com/images/blhx/thumb/d/d2/4aiwc7rnpo0ppdny2yb3xotir4onmex.jpg/30px-Gamers%E7%9A%84%E8%AF%81%E6%98%8ET0.jpg</t>
  </si>
  <si>
    <t>驱逐, 轻巡, 重巡, 超巡, 战巡, 战列, 重炮, 维修, 潜艇, 航战</t>
  </si>
  <si>
    <t>https://patchwiki.biligame.com/images/blhx/thumb/f/f3/my39cwry80cn5wiel4i45qbly9c601y.jpg/30px-SG%E9%9B%B7%E8%BE%BET1.jpg</t>
  </si>
  <si>
    <t>https://patchwiki.biligame.com/images/blhx/thumb/2/21/dsa3hq2pokfhumlp2i45rhkur5g3v0u.jpg/30px-SG%E9%9B%B7%E8%BE%BET2.jpg</t>
  </si>
  <si>
    <t>6-1、10-2、坠落之翼C2、光与影的鸢尾之华D1、复刻坠落之翼C2、复刻光与影的鸢尾之华D1、箱庭疗法C3、神圣的悲喜剧C1</t>
  </si>
  <si>
    <t>https://patchwiki.biligame.com/images/blhx/thumb/e/ec/dyi4mg6vo0qpc0sqezmhfyl84odnzx7.jpg/30px-SG%E9%9B%B7%E8%BE%BET3.jpg</t>
  </si>
  <si>
    <t>https://patchwiki.biligame.com/images/blhx/thumb/7/7e/mvmpys2hh8odbxvwr4g6afdpt4mk345.jpg/30px-TBM-3%E5%A4%8D%E4%BB%87%E8%80%85%28%E5%8F%8D%E6%BD%9C%29T1.jpg</t>
  </si>
  <si>
    <t>https://patchwiki.biligame.com/images/blhx/thumb/0/04/82ic79bvk65e12epj2fofhwk409antn.jpg/30px-TBM-3%E5%A4%8D%E4%BB%87%E8%80%85%28%E5%8F%8D%E6%BD%9C%29T2.jpg</t>
  </si>
  <si>
    <t>https://patchwiki.biligame.com/images/blhx/thumb/4/40/cveqhxz4stwpnrli6kwv0v2bwjkivy4.jpg/30px-TBM-3%E5%A4%8D%E4%BB%87%E8%80%85%28%E5%8F%8D%E6%BD%9C%29T3.jpg</t>
  </si>
  <si>
    <t>VC装甲钢板T0</t>
  </si>
  <si>
    <t>战巡, 战列, 航母, 航战, 超巡</t>
  </si>
  <si>
    <t>耐久初始：220强满：520</t>
  </si>
  <si>
    <t>重甲角色装备时，战斗中受到的穿甲弹伤害降低4%，高爆弹通常弹伤害降低2%</t>
  </si>
  <si>
    <t>https://patchwiki.biligame.com/images/blhx/thumb/c/ce/akpxx9vygxpgpppsi2hdkkcjbxqn9ys.jpg/30px-VC%E8%A3%85%E7%94%B2%E9%92%A2%E6%9D%BFT0.jpg</t>
  </si>
  <si>
    <t>VH装甲钢板T0</t>
  </si>
  <si>
    <t>耐久初始：350强满：650</t>
  </si>
  <si>
    <t>重甲角色装备时，战斗中受到的穿甲弹伤害降低6%，高爆弹通常弹伤害降低3%；</t>
  </si>
  <si>
    <t>非重甲角色装备时，战斗开始后，自身护甲类型修改为重甲</t>
  </si>
  <si>
    <t>https://patchwiki.biligame.com/images/blhx/thumb/4/46/73fla2m1lrbz3enf2gm4047c842wm1j.jpg/30px-VH%E8%A3%85%E7%94%B2%E9%92%A2%E6%9D%BFT0.jpg</t>
  </si>
  <si>
    <t>战巡, 战列, 航母, 航战</t>
  </si>
  <si>
    <t>https://patchwiki.biligame.com/images/blhx/thumb/a/a0/8bg3jxijws01krc6hz9s4mupslmw4o8.jpg/30px-Z%E6%97%97T0.jpg</t>
  </si>
  <si>
    <t>轻巡, 重巡, 超巡</t>
  </si>
  <si>
    <t>https://patchwiki.biligame.com/images/blhx/thumb/8/87/fs74531wlxcrexmfp135zqk9s6x62pv.jpg/30px-%E2%80%9C%E5%AE%81%E6%B5%B7%E5%8F%B7%E2%80%9D%E6%B0%B4%E4%B8%8A%E4%BE%A6%E5%AF%9F%E6%9C%BAT0.jpg</t>
  </si>
  <si>
    <t>战巡, 战列, 航战</t>
  </si>
  <si>
    <t>https://patchwiki.biligame.com/images/blhx/thumb/7/72/exwk4hjenzt8q1bkriw4pial4ax304s.jpg/30px-%E4%B8%80%E5%BC%8F%E7%A9%BF%E7%94%B2%E5%BC%B9T0.jpg</t>
  </si>
  <si>
    <t>https://patchwiki.biligame.com/images/blhx/thumb/f/fb/q1z7q6mckekgqqw2245ouu9s0wkn6sx.jpg/30px-%E4%B9%9D%E4%B8%80%E5%BC%8F%E7%A9%BF%E7%94%B2%E5%BC%B9T0.jpg</t>
  </si>
  <si>
    <t>驱逐, 轻巡, 重巡, 超巡, 潜艇</t>
  </si>
  <si>
    <t>异色格B2、异色格D2、七夕Sp1、红染A1、红染C1</t>
  </si>
  <si>
    <t>https://patchwiki.biligame.com/images/blhx/thumb/6/6a/r0ci4l8vf3d8wo1je2zpixj4fy0b1bm.jpg/30px-%E4%B9%9D%E4%B8%89%E5%BC%8F%E7%BA%AF%E6%B0%A7%E9%B1%BC%E9%9B%B7T1.jpg</t>
  </si>
  <si>
    <t>https://patchwiki.biligame.com/images/blhx/thumb/9/90/0kxx0r1ljy68kdnbf5fxtyvpvisayrv.jpg/30px-%E4%B9%9D%E4%B8%89%E5%BC%8F%E7%BA%AF%E6%B0%A7%E9%B1%BC%E9%9B%B7T2.jpg</t>
  </si>
  <si>
    <t>https://patchwiki.biligame.com/images/blhx/thumb/b/b3/j9g6hey1cwrx75np0glz0bzonpjej1x.jpg/30px-%E4%B9%9D%E4%B8%89%E5%BC%8F%E7%BA%AF%E6%B0%A7%E9%B1%BC%E9%9B%B7T3.jpg</t>
  </si>
  <si>
    <t>战巡, 战列, 航战, 重炮</t>
  </si>
  <si>
    <t>https://patchwiki.biligame.com/images/blhx/thumb/e/ea/32ya1llt5mnvp7scbpu9v42kd6847qe.jpg/30px-%E4%B9%9D%E5%85%AB%E5%BC%8F%E5%B0%84%E5%87%BB%E5%BB%B6%E8%BF%9F%E8%A3%85%E7%BD%AET0.jpg</t>
  </si>
  <si>
    <t>侦察报告·纽约近海T0</t>
  </si>
  <si>
    <t>驱逐, 轻巡, 重巡, 超巡, 战巡, 战列, 航战, 航母, 轻航, 重炮, 维修, 潜艇</t>
  </si>
  <si>
    <t>机动初始：5强满：15</t>
  </si>
  <si>
    <t>耐久初始：50强满：120</t>
  </si>
  <si>
    <t>对塞壬防御战术I：装备时：自身受到来自塞壬阵营敌人的伤害降低6%，同类效果取最大值，不可叠加</t>
  </si>
  <si>
    <t>https://patchwiki.biligame.com/images/blhx/thumb/a/ae/41z16w03rbbllor67p86031ecvy4vs3.jpg/30px-%E4%BE%A6%E5%AF%9F%E6%8A%A5%E5%91%8A%C2%B7%E7%BA%BD%E7%BA%A6%E8%BF%91%E6%B5%B7T0.jpg</t>
  </si>
  <si>
    <t>https://patchwiki.biligame.com/images/blhx/thumb/7/70/juilzgp3sd8ed56xxn23yla4vni2kza.jpg/30px-%E5%89%91%E9%B1%BCMark_II-ASV%28%E5%8F%8D%E6%BD%9C%29T1.jpg</t>
  </si>
  <si>
    <t>https://patchwiki.biligame.com/images/blhx/thumb/a/a1/cx8gnteqdkh6ejhevk92df0uwz5p6of.jpg/30px-%E5%89%91%E9%B1%BCMark_II-ASV%28%E5%8F%8D%E6%BD%9C%29T2.jpg</t>
  </si>
  <si>
    <t>https://patchwiki.biligame.com/images/blhx/thumb/1/17/jhipmo7c9az6j4dahjjj5h6fzm6cmhd.jpg/30px-%E5%89%91%E9%B1%BCMark_II-ASV%28%E5%8F%8D%E6%BD%9C%29T3.jpg</t>
  </si>
  <si>
    <t>四神之印T0</t>
  </si>
  <si>
    <t>耐久初始：250强满：550</t>
  </si>
  <si>
    <t>四神之力：鞍山级驱逐舰装备时，战斗中自身主炮造成的伤害提高16%并强化自身全弹发射样式</t>
  </si>
  <si>
    <t>https://patchwiki.biligame.com/images/blhx/thumb/f/fd/rar3j2w0pk3ha8p4486h8fgdl3ugphu.jpg/30px-%E5%9B%9B%E7%A5%9E%E4%B9%8B%E5%8D%B0T0.jpg</t>
  </si>
  <si>
    <t>驱逐, 轻巡</t>
  </si>
  <si>
    <t>https://patchwiki.biligame.com/images/blhx/thumb/b/b1/hgbf2sbrzj3lbl7d3ckbntv9fm8q5nn.jpg/30px-%E5%9F%BA%E7%A1%80%E5%A3%B0%E5%91%90T1.jpg</t>
  </si>
  <si>
    <t>海域救援、破交作战、箱庭疗法A1</t>
  </si>
  <si>
    <t>https://patchwiki.biligame.com/images/blhx/thumb/c/c0/l71blml6j374h2i29omljg71zoazc11.jpg/30px-%E5%9F%BA%E7%A1%80%E5%A3%B0%E5%91%90T2.jpg</t>
  </si>
  <si>
    <t>https://patchwiki.biligame.com/images/blhx/thumb/9/90/tvk10jjxvr984a9yc04edbm57zcjfo1.jpg/30px-%E5%9F%BA%E7%A1%80%E5%A3%B0%E5%91%90T3.jpg</t>
  </si>
  <si>
    <t>https://patchwiki.biligame.com/images/blhx/thumb/4/41/qs5xpj0z7thjq56xhiic9ej5i181nry.jpg/30px-%E5%9F%BA%E7%A1%80%E6%B7%B1%E5%BC%B9%E6%8A%95%E5%B0%84%E5%99%A8T1.jpg</t>
  </si>
  <si>
    <t>https://patchwiki.biligame.com/images/blhx/thumb/0/02/r79hwgrg5rxp5xundmc1953k8701q5y.jpg/30px-%E5%9F%BA%E7%A1%80%E6%B7%B1%E5%BC%B9%E6%8A%95%E5%B0%84%E5%99%A8T2.jpg</t>
  </si>
  <si>
    <t>海域救援、破交作战、穿越彼方的水线、激奏的PolarisSP2、虚拟与真实的双向镜T1</t>
  </si>
  <si>
    <t>https://patchwiki.biligame.com/images/blhx/thumb/c/ca/si1i08z4hx8e3mtjag3xmkhlikear94.jpg/30px-%E5%9F%BA%E7%A1%80%E6%B7%B1%E5%BC%B9%E6%8A%95%E5%B0%84%E5%99%A8T3.jpg</t>
  </si>
  <si>
    <t>https://patchwiki.biligame.com/images/blhx/thumb/9/9e/e4drapv7drrxuu7syhq4vmgltl6ezy6.jpg/30px-%E5%AF%B9%E7%A9%BA%E9%9B%B7%E8%BE%BET1.jpg</t>
  </si>
  <si>
    <t>https://patchwiki.biligame.com/images/blhx/thumb/3/30/n30u8zbsskkr0he64l9p2plhvk1aavv.jpg/30px-%E5%AF%B9%E7%A9%BA%E9%9B%B7%E8%BE%BET2.jpg</t>
  </si>
  <si>
    <t>https://patchwiki.biligame.com/images/blhx/thumb/b/bd/bxqy2f6egywwjnsevgg3fh1avt1j0b2.jpg/30px-%E5%AF%B9%E7%A9%BA%E9%9B%B7%E8%BE%BET3.jpg</t>
  </si>
  <si>
    <t>https://patchwiki.biligame.com/images/blhx/thumb/4/41/56vol65kbrmhjvrpzzgy9029vt3ly8j.jpg/30px-%E5%B0%8F%E6%B5%B7%E7%8B%B8%E4%B8%AD%E9%98%9F%E9%98%9F%E5%BE%BDT1.jpg</t>
  </si>
  <si>
    <t>https://patchwiki.biligame.com/images/blhx/thumb/c/ca/t5u5f9n1vw1id1rr1uyxeoiqpu78m6e.jpg/30px-%E5%BD%92%E8%88%AA%E4%BF%A1%E6%A0%87T0.jpg</t>
  </si>
  <si>
    <t>https://patchwiki.biligame.com/images/blhx/thumb/7/7b/k9mn299oq0abp65mc2yfijnrcdmb79d.jpg/30px-%E6%94%B9%E8%89%AF%E5%9E%8B%E6%B0%B4%E4%B8%8B%E8%BF%9B%E6%B0%94%E7%AE%A1T0.jpg</t>
  </si>
  <si>
    <t>https://patchwiki.biligame.com/images/blhx/thumb/e/e4/8979y9m22tn119vdz8ywue0t1q3jr6z.jpg/30px-%E6%94%B9%E8%89%AF%E5%A3%B0%E5%91%90T1.jpg</t>
  </si>
  <si>
    <t>https://patchwiki.biligame.com/images/blhx/thumb/b/be/i9154gtr8v8xcfvl9908c7gn4c8izwc.jpg/30px-%E6%94%B9%E8%89%AF%E5%A3%B0%E5%91%90T2.jpg</t>
  </si>
  <si>
    <t>https://patchwiki.biligame.com/images/blhx/thumb/6/62/s9gzavizisv6cczkwpuop943edbybl4.jpg/30px-%E6%94%B9%E8%89%AF%E5%A3%B0%E5%91%90T3.jpg</t>
  </si>
  <si>
    <t>https://patchwiki.biligame.com/images/blhx/thumb/b/be/9rfy51d3zzusf8ch7j6hwjjmo2m5vl9.jpg/30px-%E6%94%B9%E8%89%AF%E6%B7%B1%E5%BC%B9%E6%8A%95%E5%B0%84%E5%99%A8T1.jpg</t>
  </si>
  <si>
    <t>https://patchwiki.biligame.com/images/blhx/thumb/5/51/apqc80urtmwgcb2u23nf1n6ec7m8zp3.jpg/30px-%E6%94%B9%E8%89%AF%E6%B7%B1%E5%BC%B9%E6%8A%95%E5%B0%84%E5%99%A8T2.jpg</t>
  </si>
  <si>
    <t>https://patchwiki.biligame.com/images/blhx/thumb/0/08/gmzma7kj553plx7s0vutzdtflc2lyhb.jpg/30px-%E6%94%B9%E8%89%AF%E6%B7%B1%E5%BC%B9%E6%8A%95%E5%B0%84%E5%99%A8T3.jpg</t>
  </si>
  <si>
    <t>https://patchwiki.biligame.com/images/blhx/thumb/9/97/364bfi0uyj02fdq8brqdv45y3cd9z9l.jpg/30px-%E6%94%B9%E8%89%AF%E8%93%84%E7%94%B5%E6%B1%A0%E9%98%B5%E5%88%97T0.jpg</t>
  </si>
  <si>
    <t>https://patchwiki.biligame.com/images/blhx/thumb/3/37/ola0kbinkl6onitpxnrr0tdjmp73mb4.jpg/30px-%E6%94%B9%E8%89%AF%E9%94%85%E7%82%89T1.jpg</t>
  </si>
  <si>
    <t>https://patchwiki.biligame.com/images/blhx/thumb/f/f7/g058z2kvxmtdz65579zxyd3qge9dy7t.jpg/30px-%E6%94%B9%E8%89%AF%E9%94%85%E7%82%89T2.jpg</t>
  </si>
  <si>
    <t>https://patchwiki.biligame.com/images/blhx/thumb/a/ab/mx6n9qnyw6uhl9a1e7rgrjpv62ak3cs.jpg/30px-%E6%94%B9%E8%89%AF%E9%94%85%E7%82%89T3.jpg</t>
  </si>
  <si>
    <t>https://patchwiki.biligame.com/images/blhx/thumb/6/64/g0l99j647znn40yuj66v3iwv3odrdvn.jpg/30px-%E6%99%83%E6%82%A0%E6%82%A0T0.jpg</t>
  </si>
  <si>
    <t>https://patchwiki.biligame.com/images/blhx/thumb/a/ad/818i9dxoj2lj8ixyi3zeaphcqsy5tes.jpg/30px-%E6%99%BA%E6%85%A7%E6%A8%A1%E5%9D%97T0.jpg</t>
  </si>
  <si>
    <t>机密文件·极地海峡T0</t>
  </si>
  <si>
    <t>炮击初始：10强满：20</t>
  </si>
  <si>
    <t>耐久初始：100强满：180</t>
  </si>
  <si>
    <t>对塞壬防御战术I：装备时，自身受到来自塞壬阵营敌人的伤害降低6%，同类效果取最大值，不可叠加</t>
  </si>
  <si>
    <t>https://patchwiki.biligame.com/images/blhx/thumb/9/98/m75t0awnwi8c96dvvet162jxxgpani8.jpg/30px-%E6%9C%BA%E5%AF%86%E6%96%87%E4%BB%B6%C2%B7%E6%9E%81%E5%9C%B0%E6%B5%B7%E5%B3%A1T0.jpg</t>
  </si>
  <si>
    <t>维修, 驱逐, 轻巡, 重巡, 超巡, 战巡, 战列, 航母, 轻航, 重炮, 潜艇, 航战</t>
  </si>
  <si>
    <t>https://patchwiki.biligame.com/images/blhx/thumb/6/61/j6yhe0no0umgcap9nuhgxdf1qqfiqbx.jpg/30px-%E6%B2%BB%E6%84%88%E7%B3%BB%E7%8C%AB%E7%88%AAT1.jpg</t>
  </si>
  <si>
    <t>https://patchwiki.biligame.com/images/blhx/thumb/b/be/nnor8msqzxjtofiilcx5040rrcv7ycu.jpg/30px-%E6%B5%B7%E5%86%9B%E8%BF%B7%E5%BD%A9T1.jpg</t>
  </si>
  <si>
    <t>https://patchwiki.biligame.com/images/blhx/thumb/2/20/24ey1ujvoq8wbeqfd4wl6a6eporjov3.jpg/30px-%E6%B5%B7%E5%86%9B%E8%BF%B7%E5%BD%A9T2.jpg</t>
  </si>
  <si>
    <t>https://patchwiki.biligame.com/images/blhx/thumb/0/02/tv4tph72ozyns89g8vvkj04fz5slfou.jpg/30px-%E6%B5%B7%E5%86%9B%E8%BF%B7%E5%BD%A9T3.jpg</t>
  </si>
  <si>
    <t>海魂迷彩T0</t>
  </si>
  <si>
    <t>机动初始：8强满：18</t>
  </si>
  <si>
    <t>耐久初始：35强满：100</t>
  </si>
  <si>
    <t>https://patchwiki.biligame.com/images/blhx/thumb/b/b8/k89isam40o43brl3b51yz08d4b0pkry.jpg/30px-%E6%B5%B7%E9%AD%82%E8%BF%B7%E5%BD%A9T0.jpg</t>
  </si>
  <si>
    <t>https://patchwiki.biligame.com/images/blhx/thumb/3/31/bqekgagm9thdi097cryz2hq3yux4m51.jpg/30px-%E6%B6%B2%E5%8E%8B%E5%BC%B9%E5%B0%84%E8%A3%85%E7%BD%AET1.jpg</t>
  </si>
  <si>
    <t>https://patchwiki.biligame.com/images/blhx/thumb/5/58/nsmwl1a6atkswy1kjog48eqfvsi5s2s.jpg/30px-%E6%B6%B2%E5%8E%8B%E5%BC%B9%E5%B0%84%E8%A3%85%E7%BD%AET2.jpg</t>
  </si>
  <si>
    <t>坠落之翼D3、墨染D2、复刻坠落之翼D3、复刻墨染D2、北境序曲D2</t>
  </si>
  <si>
    <t>https://patchwiki.biligame.com/images/blhx/thumb/3/3d/4h17dprcxeixydyj84mqzvcgfaqz1tc.jpg/30px-%E6%B6%B2%E5%8E%8B%E5%BC%B9%E5%B0%84%E8%A3%85%E7%BD%AET3.jpg</t>
  </si>
  <si>
    <t>https://patchwiki.biligame.com/images/blhx/thumb/d/d1/q2cxpzvyz3k6ujd9axqnu3mx4c2iwv4.jpg/30px-%E6%B6%B2%E5%8E%8B%E8%88%B5%E6%9C%BAT1.jpg</t>
  </si>
  <si>
    <t>https://patchwiki.biligame.com/images/blhx/thumb/5/54/gp6nic69jl51lichqpx047igv8l1dp5.jpg/30px-%E6%B6%B2%E5%8E%8B%E8%88%B5%E6%9C%BAT2.jpg</t>
  </si>
  <si>
    <t>https://patchwiki.biligame.com/images/blhx/thumb/6/69/0z6l6dgnv5tihot4x4zc2u3xxagkvr1.jpg/30px-%E6%B6%B2%E5%8E%8B%E8%88%B5%E6%9C%BAT3.jpg</t>
  </si>
  <si>
    <t>重巡, 超巡, 战巡, 战列, 重炮, 航战</t>
  </si>
  <si>
    <t>https://patchwiki.biligame.com/images/blhx/thumb/5/5e/tdzsvlgjjqubhrhhq3lp9d7q94ce0sg.jpg/30px-%E7%81%AB%E6%8E%A7%E9%9B%B7%E8%BE%BET1.jpg</t>
  </si>
  <si>
    <t>https://patchwiki.biligame.com/images/blhx/thumb/e/e8/3evbtl7m5eh3rczrzu9ix2k81vzy5gx.jpg/30px-%E7%81%AB%E6%8E%A7%E9%9B%B7%E8%BE%BET2.jpg</t>
  </si>
  <si>
    <t>https://patchwiki.biligame.com/images/blhx/thumb/0/0f/ny8y4c95msll9oi93gtqvsrq63ovl9i.jpg/30px-%E7%81%AB%E6%8E%A7%E9%9B%B7%E8%BE%BET3.jpg</t>
  </si>
  <si>
    <t>https://patchwiki.biligame.com/images/blhx/thumb/9/9b/2qsvexbkab5aeja9e0mac6y97vx8fpy.jpg/30px-%E7%81%AD%E7%81%AB%E5%99%A8T1.jpg</t>
  </si>
  <si>
    <t>https://patchwiki.biligame.com/images/blhx/thumb/7/75/3c4j0k8h6p2sr8t9u6f4snqbom7kaky.jpg/30px-%E7%81%AD%E7%81%AB%E5%99%A8T2.jpg</t>
  </si>
  <si>
    <t>2-3、光与影的鸢尾之华A3、复刻光与影的鸢尾之华A3、浮樱影华A2</t>
  </si>
  <si>
    <t>https://patchwiki.biligame.com/images/blhx/thumb/8/8e/cwk554no7ya0x3i7jy3umhswn4tecyj.jpg/30px-%E7%81%AD%E7%81%AB%E5%99%A8T3.jpg</t>
  </si>
  <si>
    <t>https://patchwiki.biligame.com/images/blhx/thumb/b/bc/o4x965020k1yxxhaqaqx2ugw1xqw27q.jpg/30px-%E7%87%83%E6%B2%B9%E6%BB%A4%E6%B8%85%E5%99%A8T1.jpg</t>
  </si>
  <si>
    <t>https://patchwiki.biligame.com/images/blhx/thumb/f/f7/c6kgzr133gvsoltzw995ny0wqqlguqj.jpg/30px-%E7%87%83%E6%B2%B9%E6%BB%A4%E6%B8%85%E5%99%A8T2.jpg</t>
  </si>
  <si>
    <t>https://patchwiki.biligame.com/images/blhx/thumb/9/93/piyvc7zllkc30c7gonjl0c9nx34t1cs.jpg/30px-%E7%87%83%E6%B2%B9%E6%BB%A4%E6%B8%85%E5%99%A8T3.jpg</t>
  </si>
  <si>
    <t>玉米灯笼T0</t>
  </si>
  <si>
    <t>任意hololive联动角色装备时，降低自身在战斗中受到的伤害4%</t>
  </si>
  <si>
    <t>https://patchwiki.biligame.com/images/blhx/thumb/0/01/1q2aazmampcygsyqjp38rlqmbnu5er8.jpg/30px-%E7%8E%89%E7%B1%B3%E7%81%AF%E7%AC%BCT0.jpg</t>
  </si>
  <si>
    <t>https://patchwiki.biligame.com/images/blhx/thumb/8/8a/1kh77p5g8ub5n4eupp8wgoo8humkbjg.jpg/30px-%E7%8F%8D%E7%8F%A0%E4%B9%8B%E6%B3%AAT1.jpg</t>
  </si>
  <si>
    <t>https://patchwiki.biligame.com/images/blhx/thumb/c/c5/pmvroxeb40qyoxqabj6wkdspmafg2ni.jpg/30px-%E7%94%B5%E5%8A%A8%E6%89%AC%E5%BC%B9%E6%9C%BAT1.jpg</t>
  </si>
  <si>
    <t>https://patchwiki.biligame.com/images/blhx/thumb/6/6e/gamefxmn8fuijeawsvdhzck8nge6nzq.jpg/30px-%E7%94%B5%E5%8A%A8%E6%89%AC%E5%BC%B9%E6%9C%BAT2.jpg</t>
  </si>
  <si>
    <t>https://patchwiki.biligame.com/images/blhx/thumb/f/f0/jeqjibbbz68b2rn5uxl3atpll19jrti.jpg/30px-%E7%94%B5%E5%8A%A8%E6%89%AC%E5%BC%B9%E6%9C%BAT3.jpg</t>
  </si>
  <si>
    <t>战巡, 战列, 潜艇</t>
  </si>
  <si>
    <t>https://patchwiki.biligame.com/images/blhx/thumb/3/36/tvjo4srpz58z94spi5hwfc9w4vxjxr2.jpg/30px-%E7%BA%A6%E5%AE%9A%E7%9A%84%E8%AF%81%E6%98%8ET0.jpg</t>
  </si>
  <si>
    <t>组徽T0</t>
  </si>
  <si>
    <t>任意hololive联动角色装备时，提升自身在战斗中造成的伤害3%</t>
  </si>
  <si>
    <t>https://patchwiki.biligame.com/images/blhx/thumb/f/fe/o1pau2cnr3plah813ndsmiie5kl1428.jpg/30px-%E7%BB%84%E5%BE%BDT0.jpg</t>
  </si>
  <si>
    <t>https://patchwiki.biligame.com/images/blhx/thumb/a/a7/o862l6lvtqaod6f2gfsjzf1493xknb8.jpg/30px-%E7%BB%B4%E4%BF%AE%E5%B7%A5%E5%85%B7T1.jpg</t>
  </si>
  <si>
    <t>https://patchwiki.biligame.com/images/blhx/thumb/3/37/bzoggmiqijb6rhj2sk4xpvfy5exb56f.jpg/30px-%E7%BB%B4%E4%BF%AE%E5%B7%A5%E5%85%B7T2.jpg</t>
  </si>
  <si>
    <t>https://patchwiki.biligame.com/images/blhx/thumb/3/3b/s668xo1wecuclivz8d0wf6wsy0h3s1l.jpg/30px-%E7%BB%B4%E4%BF%AE%E5%B7%A5%E5%85%B7T3.jpg</t>
  </si>
  <si>
    <t>https://patchwiki.biligame.com/images/blhx/thumb/4/4d/1ibsmxklnchn7fu76z0egb6959vpcrj.jpg/30px-%E8%88%AA%E7%A9%BA%E5%89%AF%E6%B2%B9%E7%AE%B1T1.jpg</t>
  </si>
  <si>
    <t>https://patchwiki.biligame.com/images/blhx/thumb/0/05/cs1mwcul8j4ikzx9z4uzu0nl1bjalcy.jpg/30px-%E8%88%AA%E7%A9%BA%E5%89%AF%E6%B2%B9%E7%AE%B1T2.jpg</t>
  </si>
  <si>
    <t>https://patchwiki.biligame.com/images/blhx/thumb/e/e3/7h8ajjw1t449hagdoyb7ge1xln1zst1.jpg/30px-%E8%88%AA%E7%A9%BA%E5%89%AF%E6%B2%B9%E7%AE%B1T3.jpg</t>
  </si>
  <si>
    <t>https://patchwiki.biligame.com/images/blhx/thumb/3/31/ebp2slnmcqljqv36y5s9qqfcxf8reuy.jpg/30px-%E8%88%B0%E8%89%87%E7%BB%B4%E4%BF%AE%E8%AE%BE%E5%A4%87T1.jpg</t>
  </si>
  <si>
    <t>https://patchwiki.biligame.com/images/blhx/thumb/5/5c/acw97xrlle9o2i8o0v64ow2ld8ewbh1.jpg/30px-%E8%88%B0%E8%89%87%E7%BB%B4%E4%BF%AE%E8%AE%BE%E5%A4%87T2.jpg</t>
  </si>
  <si>
    <t>https://patchwiki.biligame.com/images/blhx/thumb/6/67/gcpvpr95rwebiypyegn4c5o2972g6j7.jpg/30px-%E8%88%B0%E8%89%87%E7%BB%B4%E4%BF%AE%E8%AE%BE%E5%A4%87T3.jpg</t>
  </si>
  <si>
    <t>https://patchwiki.biligame.com/images/blhx/thumb/d/da/i4c4w811youmc3suahh3mijccxm1egt.jpg/30px-%E8%B6%85%E9%87%8D%E5%BC%B9T0.jpg</t>
  </si>
  <si>
    <t>https://patchwiki.biligame.com/images/blhx/thumb/4/4a/8bvnqbkdylmjnbrjde12qigs096qbmb.jpg/30px-%E9%93%BE%E5%BC%8F%E8%A3%85%E5%BC%B9%E6%9C%BAT1.jpg</t>
  </si>
  <si>
    <t>https://patchwiki.biligame.com/images/blhx/thumb/5/5c/ecerjgf7xwzem8shpdjop5ydeyfuei7.jpg/30px-%E9%93%BE%E5%BC%8F%E8%A3%85%E5%BC%B9%E6%9C%BAT2.jpg</t>
  </si>
  <si>
    <t>https://patchwiki.biligame.com/images/blhx/thumb/d/d0/sfk3ecs62lp6h7hfvbp3yqkgf0e1oc7.jpg/30px-%E9%93%BE%E5%BC%8F%E8%A3%85%E5%BC%B9%E6%9C%BAT3.jpg</t>
  </si>
  <si>
    <t>轻巡, 重巡, 超巡, 战巡, 战列, 航母, 轻航, 重炮, 维修, 航战</t>
  </si>
  <si>
    <t>https://patchwiki.biligame.com/images/blhx/thumb/e/e5/1t4uzljjcn071modtgvrzt541c6vsol.jpg/30px-%E9%98%B2%E9%B1%BC%E9%9B%B7%E9%9A%94%E8%88%B1T1.jpg</t>
  </si>
  <si>
    <t>https://patchwiki.biligame.com/images/blhx/thumb/8/87/ahxhdkay7j3xbulxo7c8nt83b4kpzil.jpg/30px-%E9%98%B2%E9%B1%BC%E9%9B%B7%E9%9A%94%E8%88%B1T2.jpg</t>
  </si>
  <si>
    <t>https://patchwiki.biligame.com/images/blhx/thumb/4/4c/irnaefxbey9mfstahn1dstmlxpi115c.jpg/30px-%E9%98%B2%E9%B1%BC%E9%9B%B7%E9%9A%94%E8%88%B1T3.jpg</t>
  </si>
  <si>
    <t>https://patchwiki.biligame.com/images/blhx/thumb/7/73/h5rf92hrsbhq4xvebm4roipo7yuyq03.jpg/30px-%E9%99%80%E8%9E%BA%E4%BB%AAT1.jpg</t>
  </si>
  <si>
    <t>https://patchwiki.biligame.com/images/blhx/thumb/d/dd/lok3ypd0vrx4la6dvdcvckwm6uc4bh8.jpg/30px-%E9%99%80%E8%9E%BA%E4%BB%AAT2.jpg</t>
  </si>
  <si>
    <t>https://patchwiki.biligame.com/images/blhx/thumb/e/e1/12va7jxht2rrgdob77dejb6nbumhwuz.jpg/30px-%E9%99%80%E8%9E%BA%E4%BB%AAT3.jpg</t>
  </si>
  <si>
    <t>https://patchwiki.biligame.com/images/blhx/thumb/c/c5/5gk6kuenr5a53d5zgl3hcdgr79jbvr2.jpg/30px-%E9%9A%8F%E6%9C%BA%E5%8D%95%E8%AF%8D%E7%94%9F%E6%88%90%E5%99%A8T0.jpg</t>
  </si>
  <si>
    <t>https://patchwiki.biligame.com/images/blhx/thumb/e/e3/02vsv8d517pq0xj1wl96on84eyrfjob.jpg/30px-%E9%AB%98%E5%8E%8B%E6%B0%A7%E6%B0%94%E7%93%B6T0.jpg</t>
  </si>
  <si>
    <t>https://patchwiki.biligame.com/images/blhx/thumb/7/72/e9g8z2874soigyf9ghd3oht9s38q9gi.jpg/30px-%E9%AB%98%E6%80%A7%E8%83%BD%E5%AF%B9%E7%A9%BA%E9%9B%B7%E8%BE%BET0.jpg</t>
  </si>
  <si>
    <t>https://patchwiki.biligame.com/images/blhx/thumb/0/07/breixwiaqpf6idmjs31id54we96zvdd.jpg/30px-%E9%AB%98%E6%80%A7%E8%83%BD%E7%81%AB%E6%8E%A7%E9%9B%B7%E8%BE%BET0.jpg</t>
  </si>
  <si>
    <t>https://patchwiki.biligame.com/images/blhx/thumb/8/8a/dj2qccmpiqzq1780f9x67d692fq1s57.jpg/30px-%E9%AB%98%E6%80%A7%E8%83%BD%E8%88%B5%E6%9C%BAT0.jpg</t>
  </si>
  <si>
    <t>鮟鱇肝T0</t>
  </si>
  <si>
    <t>带着这个的话，或许能改变战斗BGM？</t>
  </si>
  <si>
    <t>https://patchwiki.biligame.com/images/blhx/thumb/4/40/a18fy5vujokusxsoimdrdvtum98ksne.jpg/30px-%E9%AE%9F%E9%B1%87%E8%82%9DT0.jpg</t>
  </si>
  <si>
    <t>防空炮射速修正系数</t>
    <phoneticPr fontId="1" type="noConversion"/>
  </si>
  <si>
    <t>双联装203mm主炮Mle1924T1</t>
  </si>
  <si>
    <t>单装152mm主炮T3</t>
  </si>
  <si>
    <t>双联装155mm主炮Mle1920T0</t>
  </si>
  <si>
    <t>138.6mm单装炮Mle1927T3</t>
  </si>
  <si>
    <t>138.6mm单装炮Mle1927T2</t>
  </si>
  <si>
    <t>B-13 双联装130mm主炮B-2LMT1</t>
  </si>
  <si>
    <t>双联装120mm炮Model1936T3</t>
  </si>
  <si>
    <t>155mm三连装炮T2</t>
  </si>
  <si>
    <t>152mm连装炮T3</t>
  </si>
  <si>
    <t>三联装203mm主炮改进型T3</t>
  </si>
  <si>
    <t>130mm单装炮T3</t>
  </si>
  <si>
    <t>双联装203mm主炮Mle1924T3</t>
  </si>
  <si>
    <t>双联装203mm主炮Mle1924T2</t>
  </si>
  <si>
    <t>127mm单装炮T3</t>
  </si>
  <si>
    <t>单装155mm副炮Mle1920T0</t>
  </si>
  <si>
    <t>155mm三连装炮T3</t>
  </si>
  <si>
    <t>双联100mm98式高射炮T3</t>
  </si>
  <si>
    <t>138.6mm单装炮Mle1927T1</t>
  </si>
  <si>
    <t>cruiseSpeed</t>
    <phoneticPr fontId="1" type="noConversion"/>
  </si>
  <si>
    <t>5-3、13-3、努力希望计划SP1、坠落之翼B2、坠落之翼D2、箱庭疗法B2、箱庭疗法D2、微层混合B2、微层混合D2、穹顶下的圣咏曲C2、复刻特别演习·埃塞克斯级</t>
  </si>
  <si>
    <t>5-3、坠落之翼D2、复刻坠落之翼D2、箱庭疗法D2、微层混合D2、穹顶下的圣咏曲C2</t>
  </si>
  <si>
    <t>3-1、9-3、13-2、铅色SP3、坠落之翼B2、坠落之翼D2、传颂之物SP3、斯图尔特的硝烟SP1、虚拟链接的共时性Black-SP、箱庭疗法B2、箱庭疗法D2、复刻特别演习·埃塞克斯级</t>
  </si>
  <si>
    <t>3-4、11-2、13-3、坠落之翼B2、坠落之翼D2、虚拟链接的共时性Black-SP、北境序曲B2、微层混合B2、穹顶下的圣咏曲A2、穹顶下的圣咏曲C2、复刻特别演习·埃塞克斯级</t>
  </si>
  <si>
    <t>5-2、11-3、13-3、坠落之翼B3、坠落之翼D3、微层混合B2、微层混合D2</t>
  </si>
  <si>
    <t>GL.2舰载战斗机T0</t>
  </si>
  <si>
    <t>穹顶下的圣咏曲A2</t>
  </si>
  <si>
    <t>https://patchwiki.biligame.com/images/blhx/thumb/3/3a/j1ki9sdt3ugyuoa1gxf3kq7pi7c6gy8.jpg/30px-GL.2%E8%88%B0%E8%BD%BD%E6%88%98%E6%96%97%E6%9C%BAT0.jpg</t>
  </si>
  <si>
    <t>PL.7舰载鱼雷机T0</t>
  </si>
  <si>
    <t>72×3</t>
  </si>
  <si>
    <t>144×3</t>
  </si>
  <si>
    <t>https://patchwiki.biligame.com/images/blhx/thumb/7/75/92l83wxmxcmnyfmcf75id5m5lufvv1d.jpg/30px-PL.7%E8%88%B0%E8%BD%BD%E9%B1%BC%E9%9B%B7%E6%9C%BAT0.jpg</t>
  </si>
  <si>
    <t>3-2、11-4、坠落之翼B3、异次元SP2、月光下的序曲SP3、传颂之物SP3、箱庭疗法B2、箱庭疗法D2、虚拟与真实的双向镜T5、虚拟与真实的双向镜SP、微层混合B2、微层混合D2、穹顶下的圣咏曲A2、穹顶下的圣咏曲C2、复刻特别演习·埃塞克斯级</t>
  </si>
  <si>
    <t>3-1、异次元SP2、传颂之物SP1、斯图尔特的硝烟SP1、复刻特别演习·埃塞克斯级</t>
  </si>
  <si>
    <t>2-4、传颂之物SP1、斯图尔特的硝烟SP1、复刻特别演习·埃塞克斯级</t>
  </si>
  <si>
    <t>5-1、9-1、13-2、坠落之翼B2、坠落之翼D2、传颂之物SP3、斯图尔特的硝烟SP3、虚拟链接的共时性SP2、铁血音符誓言C2、箱庭疗法B2、箱庭疗法D2、北境序曲B2、北境序曲D2、微层混合B2、微层混合D2、复刻特别演习·埃塞克斯级</t>
  </si>
  <si>
    <t>TBM复仇者(VT-18中队)T0</t>
  </si>
  <si>
    <t>127×3</t>
  </si>
  <si>
    <t>337×3</t>
  </si>
  <si>
    <t>https://patchwiki.biligame.com/images/blhx/thumb/4/40/2sppqj23mwogwd296a50ptf6zpqsex4.jpg/30px-TBM%E5%A4%8D%E4%BB%87%E8%80%85%28VT-18%E4%B8%AD%E9%98%9F%29T0.jpg</t>
  </si>
  <si>
    <t>九七式舰攻T3</t>
  </si>
  <si>
    <t>48×2</t>
  </si>
  <si>
    <t>164×2</t>
  </si>
  <si>
    <t>2-4、虚拟链接的共时性SP2、浮樱影华A1</t>
  </si>
  <si>
    <t>https://patchwiki.biligame.com/images/blhx/thumb/5/52/ov8bur35tlt6p4skqehjr8t87chm0wn.jpg/30px-%E4%B9%9D%E4%B8%83%E5%BC%8F%E8%88%B0%E6%94%BBT3.jpg</t>
  </si>
  <si>
    <t>https://patchwiki.biligame.com/images/blhx/thumb/8/82/599emfs7jvo67yfptucol73zci2ji9d.jpg/30px-%E7%81%AB%E6%8A%8AT0.jpg</t>
  </si>
  <si>
    <t>红染A3、红染C3、微层混合B3、微层混合D3</t>
  </si>
  <si>
    <t>https://patchwiki.biligame.com/images/blhx/thumb/4/4e/qu7xbngwo7599z3z2dmimukp3us23e4.jpg/30px-%E8%90%A4%E7%81%AB%E8%99%ABT0.jpg</t>
  </si>
  <si>
    <t>试作型三联装234mm主炮T0</t>
  </si>
  <si>
    <t>试作型三联装305mmSKC39主炮T0</t>
  </si>
  <si>
    <t>试作型双联装234mm主炮T0</t>
  </si>
  <si>
    <t>六联装40mm博福斯对空机炮T0</t>
  </si>
  <si>
    <t>https://patchwiki.biligame.com/images/blhx/thumb/8/82/aeuz731mcjruraonowflog1n86mys3s.jpg/30px-%E5%85%AD%E8%81%94%E8%A3%8540mm%E5%8D%9A%E7%A6%8F%E6%96%AF%E5%AF%B9%E7%A9%BA%E6%9C%BA%E7%82%AET0.jpg</t>
  </si>
  <si>
    <t>70-110</t>
  </si>
  <si>
    <t>异色格A3、异色格B3、异色格C3、异色格D3、七夕Sp3、复刻异色格A3、复刻异色格B3、复刻异色格C3、复刻异色格D3、最重要的宝物SP2、峡湾间的反击SP2</t>
  </si>
  <si>
    <t>80-120</t>
  </si>
  <si>
    <t>3-3、4-1、8-2、七夕Sp1、红染A1、红染C1、苍红的回响B2、苍红的回响D2、箱庭疗法A1、箱庭疗法C1、激奏的PolarisSP2、浮樱影华A3、浮樱影华B2、浮樱影华C3、浮樱影华D2、北境序曲B1、北境序曲D1、复刻苍红的回响B2、复刻苍红的回响D2</t>
  </si>
  <si>
    <t>穹顶下的圣咏曲A1</t>
  </si>
  <si>
    <t>2-1、墨染A2、苍红的回响A2、复刻墨染A2、复刻苍红的回响A2</t>
  </si>
  <si>
    <t>异色格B1、异色格D1、围剿SP3、复刻异色格B1、复刻异色格D1、激奏的PolarisSP3、峡湾间的反击SP3</t>
  </si>
  <si>
    <t>异色格D1、围剿SP3、复刻异色格D1、峡湾间的反击SP3</t>
  </si>
  <si>
    <t>4-4、6-4、10-4、11-2、12-2、努力希望计划SP3、异色格A3、异色格C3、异色格B1、异色格D1、红染B1、红染D1、墨染A1、墨染A2、墨染A4、墨染C1、墨染C2、墨染C4、复刻异色格A3、复刻异色格B1、复刻异色格C3、复刻异色格D1、苍红的回响B1、苍红的回响D1、复刻墨染A1、复刻墨染A2、复刻墨染A4、复刻墨染C1、复刻墨染C2、复刻墨染C4、箱庭疗法B3、箱庭疗法D3、箱庭疗法SP、穿越彼方的水线、浮樱影华A2、浮樱影华B1、浮樱影华C2、浮樱影华D1、北境序曲B3、北境序曲D3、复刻苍红的回响B1、复刻苍红的回响D1</t>
  </si>
  <si>
    <t>6-4、8-2、10-4、11-2、12-2、红染B1、红染D1、凛冬王冠C1、墨染C4、月光下的序曲SP2、苍红的回响D1、复刻墨染C4、箱庭疗法D3、箱庭疗法SP、浮樱影华D1、复刻苍红的回响D1</t>
  </si>
  <si>
    <t>光与影的鸢尾之华A3、复刻光与影的鸢尾之华A3、破交作战、穹顶下的圣咏曲A1</t>
  </si>
  <si>
    <t>光与影的鸢尾之华A3、光与影的鸢尾之华C3、复刻光与影的鸢尾之华A3、复刻光与影的鸢尾之华C3、破交作战、穹顶下的圣咏曲A1</t>
  </si>
  <si>
    <t>70-100</t>
  </si>
  <si>
    <t>海域救援、破交作战、微层混合B3、微层混合D3</t>
  </si>
  <si>
    <t>潜艇用95式纯氧鱼雷T1</t>
  </si>
  <si>
    <t>https://patchwiki.biligame.com/images/blhx/thumb/b/be/iwri03a52y82z13i3wbxymjy09k6vad.jpg/30px-%E6%BD%9C%E8%89%87%E7%94%A895%E5%BC%8F%E7%BA%AF%E6%B0%A7%E9%B1%BC%E9%9B%B7T1.jpg</t>
  </si>
  <si>
    <t>海域救援、破交作战、微层混合D3</t>
  </si>
  <si>
    <t>海域救援、破交作战、最重要的宝物SP2、微层混合A3、微层混合C3</t>
  </si>
  <si>
    <t>海域救援、破交作战、微层混合B3</t>
  </si>
  <si>
    <t>海域救援、破交作战、微层混合A3</t>
  </si>
  <si>
    <t>海域救援、破交作战、微层混合A3、微层混合C3</t>
  </si>
  <si>
    <t>海域救援、13-4、破交作战、微层混合A3、微层混合C3</t>
  </si>
  <si>
    <t>海域救援、13-4、破交作战、微层混合C3</t>
  </si>
  <si>
    <t>PBY-5A卡特琳娜水上机T0</t>
  </si>
  <si>
    <t>驱逐, 轻巡, 重巡, 超巡</t>
  </si>
  <si>
    <t>反潜初始：10强满：30</t>
  </si>
  <si>
    <t>空中侦察-卡特琳娜水上机进行协助侦察，受到伏击概率降低10%，规避伏击概率提高10%，效果不可叠加</t>
  </si>
  <si>
    <t>https://patchwiki.biligame.com/images/blhx/thumb/7/75/8234aiwerv6ji4fml7e22g3l0z5cisd.jpg/30px-PBY-5A%E5%8D%A1%E7%89%B9%E7%90%B3%E5%A8%9C%E6%B0%B4%E4%B8%8A%E6%9C%BAT0.jpg</t>
  </si>
  <si>
    <t>6-1、7-4、11-2、坠落之翼A2、坠落之翼C2、光与影的鸢尾之华B1、光与影的鸢尾之华D1、虚拟链接的共时性SP3、复刻光与影的鸢尾之华B1、复刻光与影的鸢尾之华D1、箱庭疗法A3、箱庭疗法C3、神圣的悲喜剧B2、神圣的悲喜剧D2、北境序曲A3、北境序曲C3、北境序曲SP、穹顶下的圣咏曲B2、穹顶下的圣咏曲D2</t>
  </si>
  <si>
    <t>海域救援、破交作战、箱庭疗法C1、神圣的悲喜剧B1、神圣的悲喜剧D1、虚拟与真实的双向镜T4、峡湾间的反击SP2</t>
  </si>
  <si>
    <t>2-3、2-4、异色格B2、异色格D2、坠落之翼A2、坠落之翼C2、复刻异色格B2、复刻异色格D2、神圣的悲喜剧A1、神圣的悲喜剧C1、穹顶下的圣咏曲C1</t>
  </si>
  <si>
    <t>海域救援、破交作战、最重要的宝物SP1、激奏的PolarisSP1、北境序曲A2、微层混合A1</t>
  </si>
  <si>
    <t>海域救援、破交作战、激奏的PolarisSP4、浮樱影华B1、北境序曲C3、微层混合C1</t>
  </si>
  <si>
    <t>海域救援、破交作战、箱庭疗法A2、最重要的宝物SP1、微层混合A1</t>
  </si>
  <si>
    <t>海域救援、破交作战、箱庭疗法C2、激奏的PolarisSP4、浮樱影华A3、浮樱影华B2、浮樱影华C3、微层混合C1</t>
  </si>
  <si>
    <t>5-1、9-1、红染A2、红染C2、坠落之翼C1、围剿SP1、异次元SP3、凛冬王冠B3、光与影的鸢尾之华A3、光与影的鸢尾之华C3、传颂之物SP4、苍红的回响B2、苍红的回响D2、复刻光与影的鸢尾之华A3、复刻光与影的鸢尾之华C3、箱庭疗法B3、箱庭疗法D3、箱庭疗法SP、神圣的悲喜剧B1、神圣的悲喜剧D1、虚拟与真实的双向镜T4、浮樱影华B2、浮樱影华D2、北境序曲C1、复刻苍红的回响B2、复刻苍红的回响D2、穹顶下的圣咏曲B1、穹顶下的圣咏曲D1、峡湾间的反击SP3</t>
  </si>
  <si>
    <t>2-2、箱庭疗法A1、神圣的悲喜剧A2、虚拟与真实的双向镜T2、北境序曲A1、微层混合A1</t>
  </si>
  <si>
    <t>3-2、7-2、11-1、坠落之翼B3、异次元SP2、复刻异色格B4、复刻异色格D4、虚拟链接的共时性SP2、铁血音符誓言A2、铁血音符誓言C2、虚拟与真实的双向镜T5、复刻特别演习·埃塞克斯级</t>
  </si>
  <si>
    <t>2-1、异次元SP1、铁血音符誓言A2、穿越彼方的水线、复刻特别演习·埃塞克斯级</t>
  </si>
  <si>
    <t>4-3、10-3、铅色SP2、坠落之翼B1、坠落之翼D1、凛冬王冠A3、凛冬王冠C3、墨染B2、墨染D2、传颂之物SP4、苍红的回响A3、苍红的回响C3、复刻墨染B2、复刻墨染D2、铁血音符誓言B3、箱庭疗法B1、箱庭疗法D1、神圣的悲喜剧B3、神圣的悲喜剧D3、神圣的悲喜剧SP、浮樱影华B3、浮樱影华D3、北境序曲B3、北境序曲D3、微层混合B1、微层混合D1、微层混合SP、复刻苍红的回响A3、复刻苍红的回响C3、穹顶下的圣咏曲B3、穹顶下的圣咏曲D3、穹顶下的圣咏曲SP</t>
  </si>
  <si>
    <t>3-1、9-2、10-4、坠落之翼A3、坠落之翼C3、围剿SP2、凛冬王冠A2、凛冬王冠C2、墨染C1、苍红的回响A3、苍红的回响C3、复刻墨染C1、虚拟链接的共时性SP3、浮樱影华C2、复刻苍红的回响A3、复刻苍红的回响C3</t>
  </si>
  <si>
    <t>1-4、墨染B2、复刻墨染B2、箱庭疗法A1、峡湾间的反击SP1</t>
  </si>
  <si>
    <t>3-4、10-3、铅色SP3、坠落之翼B2、月光下的序曲SP3、苍红的回响B1、苍红的回响D1、铁血音符誓言B3、铁血音符誓言D3、铁血音符誓言SP、浮樱影华B2、浮樱影华D2、北境序曲C1、微层混合C2、复刻苍红的回响B1、复刻苍红的回响D1、穹顶下的圣咏曲B3</t>
  </si>
  <si>
    <t>5-3、异色格B2、异色格D2、凛冬王冠B2、复刻异色格B2、复刻异色格D2、铁血音符誓言A2、铁血音符誓言C2、神圣的悲喜剧A3、神圣的悲喜剧C3、虚拟与真实的双向镜T5、复刻特别演习·埃塞克斯级</t>
  </si>
  <si>
    <t>5-4、9-2、七夕Sp2、围剿SP1、苍红的回响A1、苍红的回响C1、复刻苍红的回响A1、复刻苍红的回响C1</t>
  </si>
  <si>
    <t>艇壳改良设计案T2</t>
  </si>
  <si>
    <t>雷击初始：15强满：35</t>
  </si>
  <si>
    <t>耐久初始：40强满：100</t>
  </si>
  <si>
    <t>改良型艇壳：通过改良艇壳外形，自身航速增加20%，战斗中的就位位置向前移动8</t>
  </si>
  <si>
    <t>https://patchwiki.biligame.com/images/blhx/thumb/a/ac/b3p87ffpp57g3jz58wibhffz2yntqkp.jpg/30px-%E8%89%87%E5%A3%B3%E6%94%B9%E8%89%AF%E8%AE%BE%E8%AE%A1%E6%A1%88T2.jpg</t>
  </si>
  <si>
    <t>6-3、10-1、11-3、坠落之翼B1、坠落之翼D1、凛冬王冠B1、凛冬王冠D1、墨染C2、月光下的序曲SP2、苍红的回响B3、复刻墨染C2、箱庭疗法C1、神圣的悲喜剧B1、神圣的悲喜剧C1、神圣的悲喜剧D1、北境序曲C2、北境序曲SP、复刻苍红的回响B3、穹顶下的圣咏曲B2、穹顶下的圣咏曲D2</t>
  </si>
  <si>
    <t>4-1、7-4、10-2、墨染C3、月光下的序曲SP1、复刻墨染C3、铁血音符誓言B3、铁血音符誓言D3、铁血音符誓言SP、神圣的悲喜剧B3、神圣的悲喜剧D3、神圣的悲喜剧SP、虚拟与真实的双向镜T3、虚拟与真实的双向镜SP、浮樱影华A2、浮樱影华C2、北境序曲B3、穹顶下的圣咏曲B3</t>
  </si>
  <si>
    <t>6-2、10-2、七夕Sp3、坠落之翼A3、坠落之翼C3、凛冬王冠A2、凛冬王冠C2、神圣的悲喜剧B1、穹顶下的圣咏曲B1、峡湾间的反击SP3</t>
  </si>
  <si>
    <t>100/150号航空燃油T0</t>
    <phoneticPr fontId="1" type="noConversion"/>
  </si>
  <si>
    <t>100_150号航空燃油T0</t>
  </si>
  <si>
    <t>cannon</t>
    <phoneticPr fontId="1" type="noConversion"/>
  </si>
  <si>
    <t>5-3、11-1、铅色SP2、围剿SP1、光与影的鸢尾之华B1、光与影的鸢尾之华D1、复刻光与影的鸢尾之华B1、复刻光与影的鸢尾之华D1</t>
  </si>
  <si>
    <t>3-1、苍红的回响A1、复刻苍红的回响A1</t>
  </si>
  <si>
    <t>4-4、12-4、铅色SP2、红染B1、红染D1、苍红的回响C1、苍红的回响B2、苍红的回响D2、箱庭疗法B3、复刻苍红的回响C1、复刻苍红的回响B2、复刻苍红的回响D2</t>
  </si>
  <si>
    <t>2-2、坠落之翼A1、虚拟与真实的双向镜T1、微层混合A2</t>
  </si>
  <si>
    <t>4-3、9-1、10-4、12-2、红染A2、红染C2、墨染A3、墨染C3、苍红的回响A2、苍红的回响C2、复刻墨染A3、复刻墨染C3、浮樱影华A3、浮樱影华B1、浮樱影华C3、浮樱影华D1、微层混合B3、微层混合D3、复刻苍红的回响A2、复刻苍红的回响C2</t>
  </si>
  <si>
    <t>4-1、12-1、铅色SP1、红染A2、红染C2、墨染A4、墨染C4、斯图尔特的硝烟SP2、苍红的回响A1、苍红的回响C1、复刻墨染A4、复刻墨染C4、箱庭疗法B3、箱庭疗法D3、箱庭疗法SP、浮樱影华B1、浮樱影华D1、复刻苍红的回响A1、复刻苍红的回响C1、穹顶下的圣咏曲A3、穹顶下的圣咏曲C3</t>
  </si>
  <si>
    <t>2-2、斯图尔特的硝烟SP1、穿越彼方的水线、浮樱影华A1</t>
  </si>
  <si>
    <t>2-2、激奏的PolarisSP3、峡湾间的反击SP1</t>
  </si>
  <si>
    <t>北境序曲A1、北境序曲C1</t>
  </si>
  <si>
    <t>3-4、8-3、光荣的一战SP2、墨染A3、墨染C3、光与影的鸢尾之华C2、苍红的回响A2、苍红的回响C2、苍红的回响A3、苍红的回响C3、复刻墨染A3、复刻墨染C3、铁血音符誓言C1、复刻光与影的鸢尾之华C2、虚拟与真实的双向镜T4、北境序曲B1、北境序曲D1、微层混合C3、复刻苍红的回响A2、复刻苍红的回响A3、复刻苍红的回响C2、复刻苍红的回响C3</t>
  </si>
  <si>
    <t>神圣的悲喜剧D2</t>
  </si>
  <si>
    <t>5-4、9-1、铅色SP3、围剿SP2、凛冬王冠A3、凛冬王冠C3、微层混合B1、微层混合D1、微层混合SP</t>
  </si>
  <si>
    <t>7-1、铅色SP3、围剿SP2、凛冬王冠C3、铁血音符誓言C1、神圣的悲喜剧C2</t>
  </si>
  <si>
    <t>5-2、9-2、坠落之翼A2、坠落之翼C2、苍红的回响C1、箱庭疗法B1、激奏的PolarisSP4、激奏的PolarisSP5、激奏的PolarisSP、微层混合A1、微层混合C1、复刻苍红的回响C1</t>
  </si>
  <si>
    <t>6-4、异色格B4、异色格D4、七夕Sp3、铅色SP1、围剿SP3、凛冬王冠B3、凛冬王冠D3、复刻异色格B4、复刻异色格D4、铁血音符誓言B1、铁血音符誓言D1、激奏的PolarisSP3、北境序曲B1、北境序曲D1</t>
  </si>
  <si>
    <t>9-1、10-1、七夕Sp3、铅色SP1、凛冬王冠D3</t>
  </si>
  <si>
    <t>7-2、8-3、围剿SP1、铁血音符誓言B1、铁血音符誓言D1、激奏的PolarisSP3、北境序曲C2、穹顶下的圣咏曲B1、穹顶下的圣咏曲D1、峡湾间的反击SP1、峡湾间的反击SP3</t>
  </si>
  <si>
    <t>神圣的悲喜剧B3、神圣的悲喜剧C1</t>
  </si>
  <si>
    <t>5-3、9-4、10-2、10-3、13-3、坠落之翼B3、坠落之翼D3、箱庭疗法B1、箱庭疗法D1、激奏的PolarisSP4、虚拟与真实的双向镜T4</t>
  </si>
  <si>
    <t>7-2、11-4、光与影的鸢尾之华A1、光与影的鸢尾之华C1、复刻光与影的鸢尾之华A1、复刻光与影的鸢尾之华C1</t>
  </si>
  <si>
    <t>7-2、11-4、光与影的鸢尾之华C1、复刻光与影的鸢尾之华C1</t>
  </si>
  <si>
    <t>2-2、光与影的鸢尾之华A1、复刻光与影的鸢尾之华A1、激奏的PolarisSP1、微层混合B1</t>
  </si>
  <si>
    <t>特别演习?埃塞克斯级、复刻特别演习·埃塞克斯级</t>
  </si>
  <si>
    <t>5-4、七夕Sp2、坠落之翼B1、坠落之翼D1、墨染B1、墨染D1、月光下的序曲SP3、光与影的鸢尾之华A3、光与影的鸢尾之华C3、传颂之物SP4、复刻墨染B1、复刻墨染D1、铁血音符誓言B3、铁血音符誓言D3、铁血音符誓言SP、复刻光与影的鸢尾之华A3、复刻光与影的鸢尾之华C3、激奏的PolarisSP5、激奏的PolarisSP、虚拟与真实的双向镜T6、北境序曲C1、穹顶下的圣咏曲B2、穹顶下的圣咏曲D2</t>
  </si>
  <si>
    <t>5-4、11-3、坠落之翼D1、光与影的鸢尾之华C3、复刻坠落之翼D1、传颂之物SP4、苍红的回响C3、铁血音符誓言D3、铁血音符誓言SP、复刻光与影的鸢尾之华C3、复刻苍红的回响C3、穹顶下的圣咏曲D2</t>
  </si>
  <si>
    <t>3-3、9-2、13-1、坠落之翼A3、坠落之翼C3、箱庭疗法A2、箱庭疗法C2、微层混合A2、微层混合C2、复刻特别演习·埃塞克斯级</t>
  </si>
  <si>
    <t>4-2、努力希望计划SP2、8-2、光荣的一战SP1、光荣的一战SP3、光与影的鸢尾之华A1、光与影的鸢尾之华C1、铁血音符誓言C1、复刻光与影的鸢尾之华A1、复刻光与影的鸢尾之华C1、箱庭疗法A2、箱庭疗法C2、神圣的悲喜剧A2、神圣的悲喜剧C2、最重要的宝物SP3</t>
  </si>
  <si>
    <t>6-1、12-3、七夕Sp1、红染A1、红染C1、墨染B1、墨染D1、月光下的序曲SP1、苍红的回响B1、苍红的回响D1、苍红的回响B3、苍红的回响D3、复刻墨染B1、复刻墨染D1、复刻苍红的回响B1、复刻苍红的回响B3、复刻苍红的回响D1、复刻苍红的回响D3</t>
  </si>
  <si>
    <t>ammoRange</t>
  </si>
  <si>
    <t>searchRange</t>
  </si>
  <si>
    <t>searchAngle</t>
  </si>
  <si>
    <t>https://patchwiki.biligame.com/images/blhx/thumb/8/8e/gm150ph8f49v8q147eghbpzykrrtwzf.jpg/30px-%E4%B8%89%E8%81%94%E8%A3%85533mm%E9%B1%BC%E9%9B%B7T2.jpg</t>
  </si>
  <si>
    <t>2-4、坠落之翼A1、围剿SP2、墨染A1、光与影的鸢尾之华A1、苍红的回响A1、峡湾间的星辰SP1、复刻墨染A1、铁血音符誓言A1、复刻光与影的鸢尾之华A1、神圣的悲喜剧A1、最重要的宝物SP1、北境序曲A1、复刻苍红的回响A1</t>
  </si>
  <si>
    <t>https://patchwiki.biligame.com/images/blhx/thumb/0/07/1penspuktggq5kfzrib2qyorb8n6bnb.jpg/30px-%E4%B8%89%E8%81%94%E8%A3%85533mm%E9%B1%BC%E9%9B%B7T3.jpg</t>
  </si>
  <si>
    <t>激奏的PolarisSP1</t>
  </si>
  <si>
    <t>https://patchwiki.biligame.com/images/blhx/thumb/f/f4/9wl0qiyo12fg3xxb7eyop6zy1muvhuo.jpg/30px-%E4%BA%94%E8%81%94%E8%A3%85533mm%E9%B1%BC%E9%9B%B7T1.jpg</t>
  </si>
  <si>
    <t>6-4、异色格B3、异色格D3、复刻异色格B3、复刻异色格D3、峡湾间的星辰SP3、最重要的宝物SP3、穹顶下的圣咏曲C3、穹顶下的圣咏曲B3、穹顶下的圣咏曲D3、穹顶下的圣咏曲SP</t>
  </si>
  <si>
    <t>https://patchwiki.biligame.com/images/blhx/thumb/9/94/1uiqbr8gtt8ecnl8lkak01quzm8bs1l.jpg/30px-%E4%BA%94%E8%81%94%E8%A3%85533mm%E9%B1%BC%E9%9B%B7T2.jpg</t>
  </si>
  <si>
    <t>7-4、光荣的一战SP3、坠落之翼C3、墨染C1、复刻坠落之翼C3、峡湾间的星辰SP3、复刻墨染C1、最重要的宝物SP3、虚拟与真实的双向镜T6、穹顶下的圣咏曲C3、收藏奖励</t>
  </si>
  <si>
    <t>https://patchwiki.biligame.com/images/blhx/thumb/0/0b/84zd40ordxohj3acy0jvl5v6qk7uhy9.jpg/30px-%E4%BA%94%E8%81%94%E8%A3%85533mm%E9%B1%BC%E9%9B%B7T3.jpg</t>
  </si>
  <si>
    <t>https://patchwiki.biligame.com/images/blhx/thumb/2/2b/devmjh8vxteet9jk18susallchqth59.jpg/30px-%E5%9B%9B%E8%81%94%E8%A3%85533mm%E9%B1%BC%E9%9B%B7T1.jpg</t>
  </si>
  <si>
    <t>https://patchwiki.biligame.com/images/blhx/thumb/e/e3/4pnk4cayqzmiso2qzeac1outm7oc1vt.jpg/30px-%E5%9B%9B%E8%81%94%E8%A3%85533mm%E9%B1%BC%E9%9B%B7T2.jpg</t>
  </si>
  <si>
    <t>5-2、异色格A3、异色格C3、异色格B1、异色格D1、七夕Sp2、光荣的一战SP1、光荣的一战SP3、坠落之翼A1、坠落之翼C1、墨染A1、墨染C1、复刻异色格A3、复刻异色格B1、复刻异色格C3、复刻异色格D1、光与影的鸢尾之华A1、光与影的鸢尾之华C1、传颂之物SP2、峡湾间的星辰SP2、复刻墨染A1、复刻墨染C1、复刻光与影的鸢尾之华A1、复刻光与影的鸢尾之华C1、神圣的悲喜剧C2、最重要的宝物SP1、最重要的宝物SP3、虚拟与真实的双向镜T6、北境序曲A2、北境序曲C2、穹顶下的圣咏曲A3</t>
  </si>
  <si>
    <t>https://patchwiki.biligame.com/images/blhx/thumb/0/02/ll9j2sa69x6vpnwug3houyx8v0k2j37.jpg/30px-%E5%9B%9B%E8%81%94%E8%A3%85533mm%E9%B1%BC%E9%9B%B7T3.jpg</t>
  </si>
  <si>
    <t>驱逐、 轻巡、 重巡</t>
  </si>
  <si>
    <t>rarity</t>
  </si>
  <si>
    <t>type</t>
  </si>
  <si>
    <t>max_lv</t>
  </si>
  <si>
    <t>up_damage</t>
  </si>
  <si>
    <t>bullet_num</t>
  </si>
  <si>
    <t>reload_time</t>
  </si>
  <si>
    <t>up_reload_time</t>
  </si>
  <si>
    <t>speciality</t>
  </si>
  <si>
    <t>ammo_type</t>
  </si>
  <si>
    <t>corrected</t>
  </si>
  <si>
    <t>senior_delay</t>
  </si>
  <si>
    <t>vs轻</t>
  </si>
  <si>
    <t>vs中</t>
  </si>
  <si>
    <t>vs重</t>
  </si>
  <si>
    <t>Blue</t>
  </si>
  <si>
    <t>舰炮(驱逐)</t>
  </si>
  <si>
    <t>Gray</t>
  </si>
  <si>
    <t>三联装406mm主炮Mk6T2</t>
  </si>
  <si>
    <t>舰炮(战列)</t>
  </si>
  <si>
    <t>Purple</t>
  </si>
  <si>
    <t>双联装120mm高平两用炮Mark XIT0</t>
  </si>
  <si>
    <t>Gold</t>
  </si>
  <si>
    <t>三联装406mm主炮Mk6T3</t>
  </si>
  <si>
    <t>舰炮(轻巡)</t>
  </si>
  <si>
    <t>双联装406mm主炮Mk5T2</t>
  </si>
  <si>
    <t>试作型三联装406mm主炮MkDT0</t>
  </si>
  <si>
    <t>130mm单装炮T1</t>
  </si>
  <si>
    <t>双联装102mm副炮Mark XVIT0</t>
  </si>
  <si>
    <t>三联装406mm主炮Mk2T0</t>
  </si>
  <si>
    <t>舰炮(重巡)</t>
  </si>
  <si>
    <t>三联装406mm主炮Mk7T1</t>
  </si>
  <si>
    <t>双联装114mm高平两用炮Mark IVT0</t>
  </si>
  <si>
    <t>双联装SKC28式150mm副炮T0</t>
  </si>
  <si>
    <t>三联装406mm主炮Mk7T2</t>
  </si>
  <si>
    <t>B-37 三联装406mm主炮Mk-1T2</t>
  </si>
  <si>
    <t>双联装128mmSKC41高平两用炮改T0</t>
  </si>
  <si>
    <t>双联203mm主炮Model1924T3</t>
  </si>
  <si>
    <t>双联装127mmKM40主炮T0</t>
  </si>
  <si>
    <t>三联装406mm主炮Mk7T3</t>
  </si>
  <si>
    <t>356mm毘式连装炮T0</t>
  </si>
  <si>
    <t>双联装120mm炮Model1936T2</t>
  </si>
  <si>
    <t>203mm连装炮改T3</t>
  </si>
  <si>
    <t>单装TbtsKC36式150mm主炮T1</t>
  </si>
  <si>
    <t>单装TbtsKC36式150mm主炮T3</t>
  </si>
  <si>
    <t>三联装203mm主炮Mk15T0</t>
  </si>
  <si>
    <t>460mm三连装炮T2</t>
  </si>
  <si>
    <t>410mm连装炮T3</t>
  </si>
  <si>
    <t>试作型双联装457mm主炮Mk AT0</t>
  </si>
  <si>
    <t>SSR</t>
  </si>
  <si>
    <t>410mm连装炮改T0</t>
  </si>
  <si>
    <t>三联装305mm主炮Mk8T1</t>
  </si>
  <si>
    <t>单装152mm主炮T2</t>
  </si>
  <si>
    <t>B-37 三联装406mm主炮Mk-1T1</t>
  </si>
  <si>
    <t>三联装305mm主炮Mk8T2</t>
  </si>
  <si>
    <t>152mm单装炮T3</t>
  </si>
  <si>
    <t>130mm单装炮Mle1924T2</t>
  </si>
  <si>
    <t>100mm88式火炮T0</t>
  </si>
  <si>
    <t>双联装127mm高平两用炮Mk12T3</t>
  </si>
  <si>
    <t>三联装305mm主炮Mk8T3</t>
  </si>
  <si>
    <t>120mm单装高角炮T0</t>
  </si>
  <si>
    <t>120mm单装炮T1</t>
  </si>
  <si>
    <t>B-38 三联装152mm主炮Mk5T3</t>
  </si>
  <si>
    <t>120mm单装炮T2</t>
  </si>
  <si>
    <t>120mm单装炮T3</t>
  </si>
  <si>
    <t>双联装381mm主炮改T1</t>
  </si>
  <si>
    <t>三联装203mm主炮Mk13T0</t>
  </si>
  <si>
    <t>十一年式120mm单装炮T0</t>
  </si>
  <si>
    <t>B-38 三联装152mm主炮Mk5T1</t>
  </si>
  <si>
    <t>127mm单装炮早期型T0</t>
  </si>
  <si>
    <t>双联装152mm副炮T0</t>
  </si>
  <si>
    <t>127mm单装两用炮T0</t>
  </si>
  <si>
    <t>127mm连装炮改T0</t>
  </si>
  <si>
    <t>舰炮(大口径重巡)</t>
  </si>
  <si>
    <t>双联装406mm主炮Mk1T0</t>
  </si>
  <si>
    <t>B-38 三联装152mm主炮Mk5T2</t>
  </si>
  <si>
    <t>双联装406mm主炮Mk5T1</t>
  </si>
  <si>
    <t>单装150mm主炮T2</t>
  </si>
  <si>
    <t>双联装127mm副炮T0</t>
  </si>
  <si>
    <t>460mm三连装炮T1</t>
  </si>
  <si>
    <t>试作型四联装356mm主炮MkBT0</t>
  </si>
  <si>
    <t>双联152mm主炮Mk15T0</t>
  </si>
  <si>
    <t>双联装381mm主炮改T2</t>
  </si>
  <si>
    <t>460mm三连装炮T3</t>
  </si>
  <si>
    <t>双联装406mm主炮Mk5T3</t>
  </si>
  <si>
    <t>双联装381mm主炮改T0</t>
  </si>
  <si>
    <t>单装150mm主炮T3</t>
  </si>
  <si>
    <t>三联装152mm主炮Mk16T0</t>
  </si>
  <si>
    <t>双联装356mm主炮T0</t>
  </si>
  <si>
    <t>双联装406mm主炮Mk8T0</t>
  </si>
  <si>
    <t>试作型三联装203mm主炮Mark IXT0</t>
  </si>
  <si>
    <t>试作型三联装406mm/50主炮T0</t>
  </si>
  <si>
    <t>双联装127mm高平两用炮Mk12T2</t>
  </si>
  <si>
    <t>三联装152mm主炮Mle1930T2</t>
  </si>
  <si>
    <t>双联装127mm高平两用炮Mk12T1</t>
  </si>
  <si>
    <t>三联装406mm主炮Mk6T1</t>
  </si>
  <si>
    <t>双联203mm主炮Model1924T2</t>
  </si>
  <si>
    <t>Gray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</si>
</sst>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"/>
  </numFmts>
  <fonts count="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sz val="11"/>
      <color indexed="9"/>
      <name val="等线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58" fontId="0" fillId="0" borderId="0" xfId="0" applyNumberFormat="1" applyAlignment="1">
      <alignment horizontal="center" vertical="center"/>
    </xf>
    <xf numFmtId="176" fontId="0" fillId="0" borderId="0" xfId="0" applyNumberFormat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5" fillId="0" borderId="0" xfId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58" fontId="0" fillId="0" borderId="0" xfId="0" applyNumberFormat="1" applyAlignment="1">
      <alignment horizontal="center"/>
    </xf>
    <xf numFmtId="0" fontId="4" fillId="2" borderId="2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56"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rgb="FFFF6699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rgb="FFFF6699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rgb="FFFF6699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gradientFill degree="45">
          <stop position="0">
            <color theme="7" tint="0.40000610370189521"/>
          </stop>
          <stop position="1">
            <color rgb="FFCC99FF"/>
          </stop>
        </gradientFill>
      </fill>
    </dxf>
    <dxf>
      <fill>
        <patternFill>
          <bgColor theme="2"/>
        </patternFill>
      </fill>
    </dxf>
    <dxf>
      <fill>
        <patternFill>
          <bgColor theme="8" tint="0.59996337778862885"/>
        </patternFill>
      </fill>
    </dxf>
    <dxf>
      <fill>
        <patternFill>
          <bgColor rgb="FFFFFF66"/>
        </patternFill>
      </fill>
    </dxf>
    <dxf>
      <fill>
        <patternFill>
          <bgColor rgb="FFCC99FF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  <dxf>
      <fill>
        <patternFill>
          <bgColor rgb="FFFF7C80"/>
        </patternFill>
      </fill>
    </dxf>
    <dxf>
      <fill>
        <patternFill>
          <bgColor rgb="FFCC99FF"/>
        </patternFill>
      </fill>
    </dxf>
    <dxf>
      <fill>
        <patternFill>
          <bgColor rgb="FFFCEA9C"/>
        </patternFill>
      </fill>
    </dxf>
  </dxfs>
  <tableStyles count="0" defaultTableStyle="TableStyleMedium2" defaultPivotStyle="PivotStyleLight16"/>
  <colors>
    <mruColors>
      <color rgb="FFCC99FF"/>
      <color rgb="FFFF7C80"/>
      <color rgb="FFFCEA9C"/>
      <color rgb="FFFF6699"/>
      <color rgb="FFFFFF66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9.jpg"/><Relationship Id="rId299" Type="http://schemas.openxmlformats.org/officeDocument/2006/relationships/image" Target="../media/image150.jpg"/><Relationship Id="rId21" Type="http://schemas.openxmlformats.org/officeDocument/2006/relationships/image" Target="../media/image11.jpg"/><Relationship Id="rId63" Type="http://schemas.openxmlformats.org/officeDocument/2006/relationships/image" Target="../media/image32.jpg"/><Relationship Id="rId159" Type="http://schemas.openxmlformats.org/officeDocument/2006/relationships/image" Target="../media/image80.jpg"/><Relationship Id="rId324" Type="http://schemas.openxmlformats.org/officeDocument/2006/relationships/image" Target="file:///D:\__Study\Projects\C%23\AzurLane\AzurLane\Pics\Equip\Cannon\138.6mm&#21333;&#35013;&#28846;Mle1929T3.jpg" TargetMode="External"/><Relationship Id="rId170" Type="http://schemas.openxmlformats.org/officeDocument/2006/relationships/image" Target="file:///D:\__Study\Projects\C%23\AzurLane\AzurLane\Pics\Equip\Cannon\B-38%20&#19977;&#32852;&#35013;152mm&#20027;&#28846;Mk5T3.jpg" TargetMode="External"/><Relationship Id="rId226" Type="http://schemas.openxmlformats.org/officeDocument/2006/relationships/image" Target="file:///D:\__Study\Projects\C%23\AzurLane\AzurLane\Pics\Equip\Cannon\&#19977;&#32852;&#35013;SKC25&#24335;150mm&#20027;&#28846;T2.jpg" TargetMode="External"/><Relationship Id="rId268" Type="http://schemas.openxmlformats.org/officeDocument/2006/relationships/image" Target="file:///D:\__Study\Projects\C%23\AzurLane\AzurLane\Pics\Equip\Cannon\&#21452;&#32852;&#35013;102mm&#21103;&#28846;T3.jpg" TargetMode="External"/><Relationship Id="rId32" Type="http://schemas.openxmlformats.org/officeDocument/2006/relationships/image" Target="file:///D:\__Study\Projects\C%23\AzurLane\AzurLane\Pics\Equip\Cannon\&#21452;&#32852;&#35013;134mm&#39640;&#28846;T3.jpg" TargetMode="External"/><Relationship Id="rId74" Type="http://schemas.openxmlformats.org/officeDocument/2006/relationships/image" Target="file:///D:\__Study\Projects\C%23\AzurLane\AzurLane\Pics\Equip\Cannon\&#35797;&#20316;&#22411;&#19977;&#32852;&#35013;381mm&#20027;&#28846;T0.jpg" TargetMode="External"/><Relationship Id="rId128" Type="http://schemas.openxmlformats.org/officeDocument/2006/relationships/image" Target="file:///D:\__Study\Projects\C%23\AzurLane\AzurLane\Pics\Equip\Cannon\&#21333;&#35013;155mm&#21103;&#28846;Mle1920T0.jpg" TargetMode="External"/><Relationship Id="rId335" Type="http://schemas.openxmlformats.org/officeDocument/2006/relationships/image" Target="../media/image168.jpg"/><Relationship Id="rId5" Type="http://schemas.openxmlformats.org/officeDocument/2006/relationships/image" Target="../media/image3.jpg"/><Relationship Id="rId181" Type="http://schemas.openxmlformats.org/officeDocument/2006/relationships/image" Target="../media/image91.jpg"/><Relationship Id="rId237" Type="http://schemas.openxmlformats.org/officeDocument/2006/relationships/image" Target="../media/image119.jpg"/><Relationship Id="rId279" Type="http://schemas.openxmlformats.org/officeDocument/2006/relationships/image" Target="../media/image140.jpg"/><Relationship Id="rId43" Type="http://schemas.openxmlformats.org/officeDocument/2006/relationships/image" Target="../media/image22.jpg"/><Relationship Id="rId139" Type="http://schemas.openxmlformats.org/officeDocument/2006/relationships/image" Target="../media/image70.jpg"/><Relationship Id="rId290" Type="http://schemas.openxmlformats.org/officeDocument/2006/relationships/image" Target="file:///D:\__Study\Projects\C%23\AzurLane\AzurLane\Pics\Equip\Cannon\&#21452;&#32852;&#35013;120mm&#28846;Model1933T0.jpg" TargetMode="External"/><Relationship Id="rId304" Type="http://schemas.openxmlformats.org/officeDocument/2006/relationships/image" Target="file:///D:\__Study\Projects\C%23\AzurLane\AzurLane\Pics\Equip\Cannon\&#19977;&#32852;&#35013;305mm&#20027;&#28846;Model1907T3.jpg" TargetMode="External"/><Relationship Id="rId346" Type="http://schemas.openxmlformats.org/officeDocument/2006/relationships/image" Target="file:///D:\__Study\Projects\C%23\AzurLane\AzurLane\Pics\Equip\Cannon\410mm&#36830;&#35013;&#28846;T1.jpg" TargetMode="External"/><Relationship Id="rId85" Type="http://schemas.openxmlformats.org/officeDocument/2006/relationships/image" Target="../media/image43.jpg"/><Relationship Id="rId150" Type="http://schemas.openxmlformats.org/officeDocument/2006/relationships/image" Target="file:///D:\__Study\Projects\C%23\AzurLane\AzurLane\Pics\Equip\Cannon\140mm&#36830;&#35013;&#28846;T3.jpg" TargetMode="External"/><Relationship Id="rId192" Type="http://schemas.openxmlformats.org/officeDocument/2006/relationships/image" Target="file:///D:\__Study\Projects\C%23\AzurLane\AzurLane\Pics\Equip\Cannon\140mm&#21333;&#35013;&#28846;T3.jpg" TargetMode="External"/><Relationship Id="rId206" Type="http://schemas.openxmlformats.org/officeDocument/2006/relationships/image" Target="file:///D:\__Study\Projects\C%23\AzurLane\AzurLane\Pics\Equip\Cannon\&#21452;&#32852;&#35013;203mm&#20027;&#28846;T3.jpg" TargetMode="External"/><Relationship Id="rId248" Type="http://schemas.openxmlformats.org/officeDocument/2006/relationships/image" Target="file:///D:\__Study\Projects\C%23\AzurLane\AzurLane\Pics\Equip\Cannon\&#21452;&#32852;&#35013;102mm&#21103;&#28846;T1.jpg" TargetMode="External"/><Relationship Id="rId12" Type="http://schemas.openxmlformats.org/officeDocument/2006/relationships/image" Target="file:///D:\__Study\Projects\C%23\AzurLane\AzurLane\Pics\Equip\Cannon\&#19977;&#32852;&#35013;406mm&#20027;&#28846;Mk6T3.jpg" TargetMode="External"/><Relationship Id="rId108" Type="http://schemas.openxmlformats.org/officeDocument/2006/relationships/image" Target="file:///D:\__Study\Projects\C%23\AzurLane\AzurLane\Pics\Equip\Cannon\&#21333;&#35013;152mm&#20027;&#28846;T1.jpg" TargetMode="External"/><Relationship Id="rId315" Type="http://schemas.openxmlformats.org/officeDocument/2006/relationships/image" Target="../media/image158.jpg"/><Relationship Id="rId357" Type="http://schemas.openxmlformats.org/officeDocument/2006/relationships/image" Target="../media/image179.jpg"/><Relationship Id="rId54" Type="http://schemas.openxmlformats.org/officeDocument/2006/relationships/image" Target="file:///D:\__Study\Projects\C%23\AzurLane\AzurLane\Pics\Equip\Cannon\&#19977;&#32852;&#35013;152mm&#20027;&#28846;T1.jpg" TargetMode="External"/><Relationship Id="rId96" Type="http://schemas.openxmlformats.org/officeDocument/2006/relationships/image" Target="file:///D:\__Study\Projects\C%23\AzurLane\AzurLane\Pics\Equip\Cannon\127mm&#36830;&#35013;&#28846;T3.jpg" TargetMode="External"/><Relationship Id="rId161" Type="http://schemas.openxmlformats.org/officeDocument/2006/relationships/image" Target="../media/image81.jpg"/><Relationship Id="rId217" Type="http://schemas.openxmlformats.org/officeDocument/2006/relationships/image" Target="../media/image109.jpg"/><Relationship Id="rId259" Type="http://schemas.openxmlformats.org/officeDocument/2006/relationships/image" Target="../media/image130.jpg"/><Relationship Id="rId23" Type="http://schemas.openxmlformats.org/officeDocument/2006/relationships/image" Target="../media/image12.jpg"/><Relationship Id="rId119" Type="http://schemas.openxmlformats.org/officeDocument/2006/relationships/image" Target="../media/image60.jpg"/><Relationship Id="rId270" Type="http://schemas.openxmlformats.org/officeDocument/2006/relationships/image" Target="file:///D:\__Study\Projects\C%23\AzurLane\AzurLane\Pics\Equip\Cannon\&#35797;&#20316;&#22411;&#21452;&#32852;&#35013;406mmSKC&#20027;&#28846;T0.jpg" TargetMode="External"/><Relationship Id="rId326" Type="http://schemas.openxmlformats.org/officeDocument/2006/relationships/image" Target="file:///D:\__Study\Projects\C%23\AzurLane\AzurLane\Pics\Equip\Cannon\&#19977;&#32852;&#35013;356mm&#20027;&#28846;T3.jpg" TargetMode="External"/><Relationship Id="rId65" Type="http://schemas.openxmlformats.org/officeDocument/2006/relationships/image" Target="../media/image33.jpg"/><Relationship Id="rId130" Type="http://schemas.openxmlformats.org/officeDocument/2006/relationships/image" Target="file:///D:\__Study\Projects\C%23\AzurLane\AzurLane\Pics\Equip\Cannon\&#19977;&#32852;&#35013;203mm&#20027;&#28846;&#25913;&#36827;&#22411;T3.jpg" TargetMode="External"/><Relationship Id="rId172" Type="http://schemas.openxmlformats.org/officeDocument/2006/relationships/image" Target="file:///D:\__Study\Projects\C%23\AzurLane\AzurLane\Pics\Equip\Cannon\&#35797;&#20316;&#22411;&#19977;&#32852;&#35013;203mm&#33328;&#28846;T0.jpg" TargetMode="External"/><Relationship Id="rId228" Type="http://schemas.openxmlformats.org/officeDocument/2006/relationships/image" Target="file:///D:\__Study\Projects\C%23\AzurLane\AzurLane\Pics\Equip\Cannon\&#21452;&#32852;380mmSKC&#20027;&#28846;T2.jpg" TargetMode="External"/><Relationship Id="rId281" Type="http://schemas.openxmlformats.org/officeDocument/2006/relationships/image" Target="../media/image141.jpg"/><Relationship Id="rId337" Type="http://schemas.openxmlformats.org/officeDocument/2006/relationships/image" Target="../media/image169.jpg"/><Relationship Id="rId34" Type="http://schemas.openxmlformats.org/officeDocument/2006/relationships/image" Target="file:///D:\__Study\Projects\C%23\AzurLane\AzurLane\Pics\Equip\Cannon\&#21333;&#35013;102mm&#21103;&#28846;T1.jpg" TargetMode="External"/><Relationship Id="rId76" Type="http://schemas.openxmlformats.org/officeDocument/2006/relationships/image" Target="file:///D:\__Study\Projects\C%23\AzurLane\AzurLane\Pics\Equip\Cannon\B-37%20&#19977;&#32852;&#35013;406mm&#20027;&#28846;Mk-1T2.jpg" TargetMode="External"/><Relationship Id="rId141" Type="http://schemas.openxmlformats.org/officeDocument/2006/relationships/image" Target="../media/image71.jpg"/><Relationship Id="rId7" Type="http://schemas.openxmlformats.org/officeDocument/2006/relationships/image" Target="../media/image4.jpg"/><Relationship Id="rId183" Type="http://schemas.openxmlformats.org/officeDocument/2006/relationships/image" Target="../media/image92.jpg"/><Relationship Id="rId239" Type="http://schemas.openxmlformats.org/officeDocument/2006/relationships/image" Target="../media/image120.jpg"/><Relationship Id="rId250" Type="http://schemas.openxmlformats.org/officeDocument/2006/relationships/image" Target="file:///D:\__Study\Projects\C%23\AzurLane\AzurLane\Pics\Equip\Cannon\&#19977;&#32852;283mmSKC28&#20027;&#28846;T1.jpg" TargetMode="External"/><Relationship Id="rId292" Type="http://schemas.openxmlformats.org/officeDocument/2006/relationships/image" Target="file:///D:\__Study\Projects\C%23\AzurLane\AzurLane\Pics\Equip\Cannon\&#35797;&#20316;&#22411;&#21452;&#32852;&#35013;234mm&#20027;&#28846;T0.jpg" TargetMode="External"/><Relationship Id="rId306" Type="http://schemas.openxmlformats.org/officeDocument/2006/relationships/image" Target="file:///D:\__Study\Projects\C%23\AzurLane\AzurLane\Pics\Equip\Cannon\&#21452;&#32852;&#35013;381mm&#20027;&#28846;T1.jpg" TargetMode="External"/><Relationship Id="rId45" Type="http://schemas.openxmlformats.org/officeDocument/2006/relationships/image" Target="../media/image23.jpg"/><Relationship Id="rId87" Type="http://schemas.openxmlformats.org/officeDocument/2006/relationships/image" Target="../media/image44.jpg"/><Relationship Id="rId110" Type="http://schemas.openxmlformats.org/officeDocument/2006/relationships/image" Target="file:///D:\__Study\Projects\C%23\AzurLane\AzurLane\Pics\Equip\Cannon\152mm&#36830;&#35013;&#28846;T1.jpg" TargetMode="External"/><Relationship Id="rId348" Type="http://schemas.openxmlformats.org/officeDocument/2006/relationships/image" Target="file:///D:\__Study\Projects\C%23\AzurLane\AzurLane\Pics\Equip\Cannon\B-13%20&#21452;&#32852;&#35013;130mm&#20027;&#28846;B-2LMT1.jpg" TargetMode="External"/><Relationship Id="rId152" Type="http://schemas.openxmlformats.org/officeDocument/2006/relationships/image" Target="file:///D:\__Study\Projects\C%23\AzurLane\AzurLane\Pics\Equip\Cannon\&#19977;&#32852;&#35013;356mm&#20027;&#28846;T2.jpg" TargetMode="External"/><Relationship Id="rId194" Type="http://schemas.openxmlformats.org/officeDocument/2006/relationships/image" Target="file:///D:\__Study\Projects\C%23\AzurLane\AzurLane\Pics\Equip\Cannon\152mm&#36830;&#35013;&#28846;T3.jpg" TargetMode="External"/><Relationship Id="rId208" Type="http://schemas.openxmlformats.org/officeDocument/2006/relationships/image" Target="file:///D:\__Study\Projects\C%23\AzurLane\AzurLane\Pics\Equip\Cannon\&#35797;&#20316;&#22411;&#19977;&#32852;&#35013;203mmSKC&#20027;&#28846;T0.jpg" TargetMode="External"/><Relationship Id="rId261" Type="http://schemas.openxmlformats.org/officeDocument/2006/relationships/image" Target="../media/image131.jpg"/><Relationship Id="rId14" Type="http://schemas.openxmlformats.org/officeDocument/2006/relationships/image" Target="file:///D:\__Study\Projects\C%23\AzurLane\AzurLane\Pics\Equip\Cannon\&#21452;&#32852;&#35013;152mm&#20027;&#28846;Model1892T3.jpg" TargetMode="External"/><Relationship Id="rId56" Type="http://schemas.openxmlformats.org/officeDocument/2006/relationships/image" Target="file:///D:\__Study\Projects\C%23\AzurLane\AzurLane\Pics\Equip\Cannon\130mm&#21333;&#35013;&#28846;Mle1924T1.jpg" TargetMode="External"/><Relationship Id="rId317" Type="http://schemas.openxmlformats.org/officeDocument/2006/relationships/image" Target="../media/image159.jpg"/><Relationship Id="rId359" Type="http://schemas.openxmlformats.org/officeDocument/2006/relationships/image" Target="../media/image180.jpg"/><Relationship Id="rId98" Type="http://schemas.openxmlformats.org/officeDocument/2006/relationships/image" Target="file:///D:\__Study\Projects\C%23\AzurLane\AzurLane\Pics\Equip\Cannon\&#19977;&#32852;&#35013;152mm&#20027;&#28846;T2.jpg" TargetMode="External"/><Relationship Id="rId121" Type="http://schemas.openxmlformats.org/officeDocument/2006/relationships/image" Target="../media/image61.jpg"/><Relationship Id="rId163" Type="http://schemas.openxmlformats.org/officeDocument/2006/relationships/image" Target="../media/image82.jpg"/><Relationship Id="rId219" Type="http://schemas.openxmlformats.org/officeDocument/2006/relationships/image" Target="../media/image110.jpg"/><Relationship Id="rId230" Type="http://schemas.openxmlformats.org/officeDocument/2006/relationships/image" Target="file:///D:\__Study\Projects\C%23\AzurLane\AzurLane\Pics\Equip\Cannon\&#21452;&#32852;152mm&#20027;&#28846;T1.jpg" TargetMode="External"/><Relationship Id="rId25" Type="http://schemas.openxmlformats.org/officeDocument/2006/relationships/image" Target="../media/image13.jpg"/><Relationship Id="rId46" Type="http://schemas.openxmlformats.org/officeDocument/2006/relationships/image" Target="file:///D:\__Study\Projects\C%23\AzurLane\AzurLane\Pics\Equip\Cannon\&#21333;&#35013;152mm&#21103;&#28846;T1.jpg" TargetMode="External"/><Relationship Id="rId67" Type="http://schemas.openxmlformats.org/officeDocument/2006/relationships/image" Target="../media/image34.jpg"/><Relationship Id="rId272" Type="http://schemas.openxmlformats.org/officeDocument/2006/relationships/image" Target="file:///D:\__Study\Projects\C%23\AzurLane\AzurLane\Pics\Equip\Cannon\&#19977;&#32852;&#35013;152mm&#20027;&#28846;Mle1930T1.jpg" TargetMode="External"/><Relationship Id="rId293" Type="http://schemas.openxmlformats.org/officeDocument/2006/relationships/image" Target="../media/image147.jpg"/><Relationship Id="rId307" Type="http://schemas.openxmlformats.org/officeDocument/2006/relationships/image" Target="../media/image154.jpg"/><Relationship Id="rId328" Type="http://schemas.openxmlformats.org/officeDocument/2006/relationships/image" Target="file:///D:\__Study\Projects\C%23\AzurLane\AzurLane\Pics\Equip\Cannon\&#19977;&#32852;&#35013;381mm&#20027;&#28846;Model1934T1.jpg" TargetMode="External"/><Relationship Id="rId349" Type="http://schemas.openxmlformats.org/officeDocument/2006/relationships/image" Target="../media/image175.jpg"/><Relationship Id="rId88" Type="http://schemas.openxmlformats.org/officeDocument/2006/relationships/image" Target="file:///D:\__Study\Projects\C%23\AzurLane\AzurLane\Pics\Equip\Cannon\&#35797;&#20316;&#22411;&#19977;&#32852;&#35013;305mmSKC39&#20027;&#28846;T0.jpg" TargetMode="External"/><Relationship Id="rId111" Type="http://schemas.openxmlformats.org/officeDocument/2006/relationships/image" Target="../media/image56.jpg"/><Relationship Id="rId132" Type="http://schemas.openxmlformats.org/officeDocument/2006/relationships/image" Target="file:///D:\__Study\Projects\C%23\AzurLane\AzurLane\Pics\Equip\Cannon\140mm&#21333;&#35013;&#28846;T2.jpg" TargetMode="External"/><Relationship Id="rId153" Type="http://schemas.openxmlformats.org/officeDocument/2006/relationships/image" Target="../media/image77.jpg"/><Relationship Id="rId174" Type="http://schemas.openxmlformats.org/officeDocument/2006/relationships/image" Target="file:///D:\__Study\Projects\C%23\AzurLane\AzurLane\Pics\Equip\Cannon\&#21452;&#32852;152mm&#20027;&#28846;T2.jpg" TargetMode="External"/><Relationship Id="rId195" Type="http://schemas.openxmlformats.org/officeDocument/2006/relationships/image" Target="../media/image98.jpg"/><Relationship Id="rId209" Type="http://schemas.openxmlformats.org/officeDocument/2006/relationships/image" Target="../media/image105.jpg"/><Relationship Id="rId360" Type="http://schemas.openxmlformats.org/officeDocument/2006/relationships/image" Target="file:///D:\__Study\Projects\C%23\AzurLane\AzurLane\Pics\Equip\Cannon\&#21333;&#35013;102mm&#21103;&#28846;T3.jpg" TargetMode="External"/><Relationship Id="rId220" Type="http://schemas.openxmlformats.org/officeDocument/2006/relationships/image" Target="file:///D:\__Study\Projects\C%23\AzurLane\AzurLane\Pics\Equip\Cannon\138.6mm&#21333;&#35013;&#28846;Mle1927T3.jpg" TargetMode="External"/><Relationship Id="rId241" Type="http://schemas.openxmlformats.org/officeDocument/2006/relationships/image" Target="../media/image121.jpg"/><Relationship Id="rId15" Type="http://schemas.openxmlformats.org/officeDocument/2006/relationships/image" Target="../media/image8.jpg"/><Relationship Id="rId36" Type="http://schemas.openxmlformats.org/officeDocument/2006/relationships/image" Target="file:///D:\__Study\Projects\C%23\AzurLane\AzurLane\Pics\Equip\Cannon\&#21452;&#32852;&#35013;155mm&#20027;&#28846;Mle1920T0.jpg" TargetMode="External"/><Relationship Id="rId57" Type="http://schemas.openxmlformats.org/officeDocument/2006/relationships/image" Target="../media/image29.jpg"/><Relationship Id="rId262" Type="http://schemas.openxmlformats.org/officeDocument/2006/relationships/image" Target="file:///D:\__Study\Projects\C%23\AzurLane\AzurLane\Pics\Equip\Cannon\138.6mm&#21333;&#35013;&#28846;Mle1929T2.jpg" TargetMode="External"/><Relationship Id="rId283" Type="http://schemas.openxmlformats.org/officeDocument/2006/relationships/image" Target="../media/image142.jpg"/><Relationship Id="rId318" Type="http://schemas.openxmlformats.org/officeDocument/2006/relationships/image" Target="file:///D:\__Study\Projects\C%23\AzurLane\AzurLane\Pics\Equip\Cannon\&#21452;&#32852;&#35013;102mm&#21103;&#28846;T2.jpg" TargetMode="External"/><Relationship Id="rId339" Type="http://schemas.openxmlformats.org/officeDocument/2006/relationships/image" Target="../media/image170.jpg"/><Relationship Id="rId78" Type="http://schemas.openxmlformats.org/officeDocument/2006/relationships/image" Target="file:///D:\__Study\Projects\C%23\AzurLane\AzurLane\Pics\Equip\Cannon\127mm&#21333;&#35013;&#28846;T2.jpg" TargetMode="External"/><Relationship Id="rId99" Type="http://schemas.openxmlformats.org/officeDocument/2006/relationships/image" Target="../media/image50.jpg"/><Relationship Id="rId101" Type="http://schemas.openxmlformats.org/officeDocument/2006/relationships/image" Target="../media/image51.jpg"/><Relationship Id="rId122" Type="http://schemas.openxmlformats.org/officeDocument/2006/relationships/image" Target="file:///D:\__Study\Projects\C%23\AzurLane\AzurLane\Pics\Equip\Cannon\138.6mm&#21333;&#35013;&#28846;Mle1927T2.jpg" TargetMode="External"/><Relationship Id="rId143" Type="http://schemas.openxmlformats.org/officeDocument/2006/relationships/image" Target="../media/image72.jpg"/><Relationship Id="rId164" Type="http://schemas.openxmlformats.org/officeDocument/2006/relationships/image" Target="file:///D:\__Study\Projects\C%23\AzurLane\AzurLane\Pics\Equip\Cannon\&#21333;&#35013;152mm&#20027;&#28846;T3.jpg" TargetMode="External"/><Relationship Id="rId185" Type="http://schemas.openxmlformats.org/officeDocument/2006/relationships/image" Target="../media/image93.jpg"/><Relationship Id="rId350" Type="http://schemas.openxmlformats.org/officeDocument/2006/relationships/image" Target="file:///D:\__Study\Projects\C%23\AzurLane\AzurLane\Pics\Equip\Cannon\&#21452;&#32852;203mm&#20027;&#28846;Model1927T3.jpg" TargetMode="External"/><Relationship Id="rId9" Type="http://schemas.openxmlformats.org/officeDocument/2006/relationships/image" Target="../media/image5.jpg"/><Relationship Id="rId210" Type="http://schemas.openxmlformats.org/officeDocument/2006/relationships/image" Target="file:///D:\__Study\Projects\C%23\AzurLane\AzurLane\Pics\Equip\Cannon\&#21452;&#32852;&#35013;128mmSKC41&#39640;&#24179;&#20004;&#29992;&#28846;T1.jpg" TargetMode="External"/><Relationship Id="rId26" Type="http://schemas.openxmlformats.org/officeDocument/2006/relationships/image" Target="file:///D:\__Study\Projects\C%23\AzurLane\AzurLane\Pics\Equip\Cannon\&#22235;&#32852;&#35013;330mm&#20027;&#28846;Mle1931T1.jpg" TargetMode="External"/><Relationship Id="rId231" Type="http://schemas.openxmlformats.org/officeDocument/2006/relationships/image" Target="../media/image116.jpg"/><Relationship Id="rId252" Type="http://schemas.openxmlformats.org/officeDocument/2006/relationships/image" Target="file:///D:\__Study\Projects\C%23\AzurLane\AzurLane\Pics\Equip\Cannon\130mm&#21333;&#35013;&#28846;Mle1924T3.jpg" TargetMode="External"/><Relationship Id="rId273" Type="http://schemas.openxmlformats.org/officeDocument/2006/relationships/image" Target="../media/image137.jpg"/><Relationship Id="rId294" Type="http://schemas.openxmlformats.org/officeDocument/2006/relationships/image" Target="file:///D:\__Study\Projects\C%23\AzurLane\AzurLane\Pics\Equip\Cannon\&#21452;&#32852;&#35013;406mm&#20027;&#28846;Mk5T1.jpg" TargetMode="External"/><Relationship Id="rId308" Type="http://schemas.openxmlformats.org/officeDocument/2006/relationships/image" Target="file:///D:\__Study\Projects\C%23\AzurLane\AzurLane\Pics\Equip\Cannon\&#35797;&#20316;&#22411;&#19977;&#32852;&#35013;152mm&#20027;&#28846;T0.jpg" TargetMode="External"/><Relationship Id="rId329" Type="http://schemas.openxmlformats.org/officeDocument/2006/relationships/image" Target="../media/image165.jpg"/><Relationship Id="rId47" Type="http://schemas.openxmlformats.org/officeDocument/2006/relationships/image" Target="../media/image24.jpg"/><Relationship Id="rId68" Type="http://schemas.openxmlformats.org/officeDocument/2006/relationships/image" Target="file:///D:\__Study\Projects\C%23\AzurLane\AzurLane\Pics\Equip\Cannon\&#21452;&#32852;&#35013;381mm&#20027;&#28846;T2.jpg" TargetMode="External"/><Relationship Id="rId89" Type="http://schemas.openxmlformats.org/officeDocument/2006/relationships/image" Target="../media/image45.jpg"/><Relationship Id="rId112" Type="http://schemas.openxmlformats.org/officeDocument/2006/relationships/image" Target="file:///D:\__Study\Projects\C%23\AzurLane\AzurLane\Pics\Equip\Cannon\152mm&#36830;&#35013;&#28846;T2.jpg" TargetMode="External"/><Relationship Id="rId133" Type="http://schemas.openxmlformats.org/officeDocument/2006/relationships/image" Target="../media/image67.jpg"/><Relationship Id="rId154" Type="http://schemas.openxmlformats.org/officeDocument/2006/relationships/image" Target="file:///D:\__Study\Projects\C%23\AzurLane\AzurLane\Pics\Equip\Cannon\&#35797;&#20316;&#22411;&#19977;&#32852;&#35013;152mm&#39640;&#24179;&#20004;&#29992;&#28846;Mk17T0.jpg" TargetMode="External"/><Relationship Id="rId175" Type="http://schemas.openxmlformats.org/officeDocument/2006/relationships/image" Target="../media/image88.jpg"/><Relationship Id="rId340" Type="http://schemas.openxmlformats.org/officeDocument/2006/relationships/image" Target="file:///D:\__Study\Projects\C%23\AzurLane\AzurLane\Pics\Equip\Cannon\203mm&#36830;&#35013;&#28846;T1.jpg" TargetMode="External"/><Relationship Id="rId196" Type="http://schemas.openxmlformats.org/officeDocument/2006/relationships/image" Target="file:///D:\__Study\Projects\C%23\AzurLane\AzurLane\Pics\Equip\Cannon\&#21452;&#32852;&#35013;203mm&#20027;&#28846;T2.jpg" TargetMode="External"/><Relationship Id="rId200" Type="http://schemas.openxmlformats.org/officeDocument/2006/relationships/image" Target="file:///D:\__Study\Projects\C%23\AzurLane\AzurLane\Pics\Equip\Cannon\&#21452;&#32852;&#35013;TbtsKC36&#24335;150mm&#20027;&#28846;T2.jpg" TargetMode="External"/><Relationship Id="rId16" Type="http://schemas.openxmlformats.org/officeDocument/2006/relationships/image" Target="file:///D:\__Study\Projects\C%23\AzurLane\AzurLane\Pics\Equip\Cannon\&#21452;&#32852;&#35013;134mm&#39640;&#28846;T1.jpg" TargetMode="External"/><Relationship Id="rId221" Type="http://schemas.openxmlformats.org/officeDocument/2006/relationships/image" Target="../media/image111.jpg"/><Relationship Id="rId242" Type="http://schemas.openxmlformats.org/officeDocument/2006/relationships/image" Target="file:///D:\__Study\Projects\C%23\AzurLane\AzurLane\Pics\Equip\Cannon\127mm&#21333;&#35013;&#28846;T3.jpg" TargetMode="External"/><Relationship Id="rId263" Type="http://schemas.openxmlformats.org/officeDocument/2006/relationships/image" Target="../media/image132.jpg"/><Relationship Id="rId284" Type="http://schemas.openxmlformats.org/officeDocument/2006/relationships/image" Target="file:///D:\__Study\Projects\C%23\AzurLane\AzurLane\Pics\Equip\Cannon\&#19977;&#32852;283mmSKC28&#20027;&#28846;T2.jpg" TargetMode="External"/><Relationship Id="rId319" Type="http://schemas.openxmlformats.org/officeDocument/2006/relationships/image" Target="../media/image160.jpg"/><Relationship Id="rId37" Type="http://schemas.openxmlformats.org/officeDocument/2006/relationships/image" Target="../media/image19.jpg"/><Relationship Id="rId58" Type="http://schemas.openxmlformats.org/officeDocument/2006/relationships/image" Target="file:///D:\__Study\Projects\C%23\AzurLane\AzurLane\Pics\Equip\Cannon\130mm&#21333;&#35013;&#28846;T2.jpg" TargetMode="External"/><Relationship Id="rId79" Type="http://schemas.openxmlformats.org/officeDocument/2006/relationships/image" Target="../media/image40.jpg"/><Relationship Id="rId102" Type="http://schemas.openxmlformats.org/officeDocument/2006/relationships/image" Target="file:///D:\__Study\Projects\C%23\AzurLane\AzurLane\Pics\Equip\Cannon\140mm&#36830;&#35013;&#28846;T2.jpg" TargetMode="External"/><Relationship Id="rId123" Type="http://schemas.openxmlformats.org/officeDocument/2006/relationships/image" Target="../media/image62.jpg"/><Relationship Id="rId144" Type="http://schemas.openxmlformats.org/officeDocument/2006/relationships/image" Target="file:///D:\__Study\Projects\C%23\AzurLane\AzurLane\Pics\Equip\Cannon\&#19977;&#32852;&#35013;381mm&#20027;&#28846;Model1934T3.jpg" TargetMode="External"/><Relationship Id="rId330" Type="http://schemas.openxmlformats.org/officeDocument/2006/relationships/image" Target="file:///D:\__Study\Projects\C%23\AzurLane\AzurLane\Pics\Equip\Cannon\&#21452;&#32852;152mm&#20027;&#28846;T3.jpg" TargetMode="External"/><Relationship Id="rId90" Type="http://schemas.openxmlformats.org/officeDocument/2006/relationships/image" Target="file:///D:\__Study\Projects\C%23\AzurLane\AzurLane\Pics\Equip\Cannon\&#22235;&#32852;&#35013;380mm&#20027;&#28846;Mle1935T1.jpg" TargetMode="External"/><Relationship Id="rId165" Type="http://schemas.openxmlformats.org/officeDocument/2006/relationships/image" Target="../media/image83.jpg"/><Relationship Id="rId186" Type="http://schemas.openxmlformats.org/officeDocument/2006/relationships/image" Target="file:///D:\__Study\Projects\C%23\AzurLane\AzurLane\Pics\Equip\Cannon\&#21333;&#35013;SKC28&#24335;150mm&#20027;&#28846;T1.jpg" TargetMode="External"/><Relationship Id="rId351" Type="http://schemas.openxmlformats.org/officeDocument/2006/relationships/image" Target="../media/image176.jpg"/><Relationship Id="rId211" Type="http://schemas.openxmlformats.org/officeDocument/2006/relationships/image" Target="../media/image106.jpg"/><Relationship Id="rId232" Type="http://schemas.openxmlformats.org/officeDocument/2006/relationships/image" Target="file:///D:\__Study\Projects\C%23\AzurLane\AzurLane\Pics\Equip\Cannon\&#19977;&#32852;283mmSKC34&#20027;&#28846;T3.jpg" TargetMode="External"/><Relationship Id="rId253" Type="http://schemas.openxmlformats.org/officeDocument/2006/relationships/image" Target="../media/image127.jpg"/><Relationship Id="rId274" Type="http://schemas.openxmlformats.org/officeDocument/2006/relationships/image" Target="file:///D:\__Study\Projects\C%23\AzurLane\AzurLane\Pics\Equip\Cannon\76mm&#28779;&#28846;T3.jpg" TargetMode="External"/><Relationship Id="rId295" Type="http://schemas.openxmlformats.org/officeDocument/2006/relationships/image" Target="../media/image148.jpg"/><Relationship Id="rId309" Type="http://schemas.openxmlformats.org/officeDocument/2006/relationships/image" Target="../media/image155.jpg"/><Relationship Id="rId27" Type="http://schemas.openxmlformats.org/officeDocument/2006/relationships/image" Target="../media/image14.jpg"/><Relationship Id="rId48" Type="http://schemas.openxmlformats.org/officeDocument/2006/relationships/image" Target="file:///D:\__Study\Projects\C%23\AzurLane\AzurLane\Pics\Equip\Cannon\&#21452;&#32852;&#35013;152mm&#20027;&#28846;T1.jpg" TargetMode="External"/><Relationship Id="rId69" Type="http://schemas.openxmlformats.org/officeDocument/2006/relationships/image" Target="../media/image35.jpg"/><Relationship Id="rId113" Type="http://schemas.openxmlformats.org/officeDocument/2006/relationships/image" Target="../media/image57.jpg"/><Relationship Id="rId134" Type="http://schemas.openxmlformats.org/officeDocument/2006/relationships/image" Target="file:///D:\__Study\Projects\C%23\AzurLane\AzurLane\Pics\Equip\Cannon\305mm&#36830;&#35013;&#28846;T0.jpg" TargetMode="External"/><Relationship Id="rId320" Type="http://schemas.openxmlformats.org/officeDocument/2006/relationships/image" Target="file:///D:\__Study\Projects\C%23\AzurLane\AzurLane\Pics\Equip\Cannon\&#19977;&#32852;283mmSKC34&#20027;&#28846;T2.jpg" TargetMode="External"/><Relationship Id="rId80" Type="http://schemas.openxmlformats.org/officeDocument/2006/relationships/image" Target="file:///D:\__Study\Projects\C%23\AzurLane\AzurLane\Pics\Equip\Cannon\B-13%20&#21452;&#32852;&#35013;130mm&#20027;&#28846;B-2LMT3.jpg" TargetMode="External"/><Relationship Id="rId155" Type="http://schemas.openxmlformats.org/officeDocument/2006/relationships/image" Target="../media/image78.jpg"/><Relationship Id="rId176" Type="http://schemas.openxmlformats.org/officeDocument/2006/relationships/image" Target="file:///D:\__Study\Projects\C%23\AzurLane\AzurLane\Pics\Equip\Cannon\356mm&#36830;&#35013;&#28846;T1.jpg" TargetMode="External"/><Relationship Id="rId197" Type="http://schemas.openxmlformats.org/officeDocument/2006/relationships/image" Target="../media/image99.jpg"/><Relationship Id="rId341" Type="http://schemas.openxmlformats.org/officeDocument/2006/relationships/image" Target="../media/image171.jpg"/><Relationship Id="rId201" Type="http://schemas.openxmlformats.org/officeDocument/2006/relationships/image" Target="../media/image101.jpg"/><Relationship Id="rId222" Type="http://schemas.openxmlformats.org/officeDocument/2006/relationships/image" Target="file:///D:\__Study\Projects\C%23\AzurLane\AzurLane\Pics\Equip\Cannon\&#21333;&#35013;SKC28&#24335;150mm&#20027;&#28846;T3.jpg" TargetMode="External"/><Relationship Id="rId243" Type="http://schemas.openxmlformats.org/officeDocument/2006/relationships/image" Target="../media/image122.jpg"/><Relationship Id="rId264" Type="http://schemas.openxmlformats.org/officeDocument/2006/relationships/image" Target="file:///D:\__Study\Projects\C%23\AzurLane\AzurLane\Pics\Equip\Cannon\&#21333;&#35013;150mm&#20027;&#28846;T1.jpg" TargetMode="External"/><Relationship Id="rId285" Type="http://schemas.openxmlformats.org/officeDocument/2006/relationships/image" Target="../media/image143.jpg"/><Relationship Id="rId17" Type="http://schemas.openxmlformats.org/officeDocument/2006/relationships/image" Target="../media/image9.jpg"/><Relationship Id="rId38" Type="http://schemas.openxmlformats.org/officeDocument/2006/relationships/image" Target="file:///D:\__Study\Projects\C%23\AzurLane\AzurLane\Pics\Equip\Cannon\&#19977;&#32852;&#35013;102mm&#21103;&#28846;T1.jpg" TargetMode="External"/><Relationship Id="rId59" Type="http://schemas.openxmlformats.org/officeDocument/2006/relationships/image" Target="../media/image30.jpg"/><Relationship Id="rId103" Type="http://schemas.openxmlformats.org/officeDocument/2006/relationships/image" Target="../media/image52.jpg"/><Relationship Id="rId124" Type="http://schemas.openxmlformats.org/officeDocument/2006/relationships/image" Target="file:///D:\__Study\Projects\C%23\AzurLane\AzurLane\Pics\Equip\Cannon\410mm&#36830;&#35013;&#28846;T3.jpg" TargetMode="External"/><Relationship Id="rId310" Type="http://schemas.openxmlformats.org/officeDocument/2006/relationships/image" Target="file:///D:\__Study\Projects\C%23\AzurLane\AzurLane\Pics\Equip\Cannon\&#19977;&#32852;&#35013;203mm&#20027;&#28846;T2.jpg" TargetMode="External"/><Relationship Id="rId70" Type="http://schemas.openxmlformats.org/officeDocument/2006/relationships/image" Target="file:///D:\__Study\Projects\C%23\AzurLane\AzurLane\Pics\Equip\Cannon\&#19977;&#32852;&#35013;203mm&#20027;&#28846;T3.jpg" TargetMode="External"/><Relationship Id="rId91" Type="http://schemas.openxmlformats.org/officeDocument/2006/relationships/image" Target="../media/image46.jpg"/><Relationship Id="rId145" Type="http://schemas.openxmlformats.org/officeDocument/2006/relationships/image" Target="../media/image73.jpg"/><Relationship Id="rId166" Type="http://schemas.openxmlformats.org/officeDocument/2006/relationships/image" Target="file:///D:\__Study\Projects\C%23\AzurLane\AzurLane\Pics\Equip\Cannon\&#19977;&#32852;&#35013;SKC25&#24335;150mm&#20027;&#28846;T1.jpg" TargetMode="External"/><Relationship Id="rId187" Type="http://schemas.openxmlformats.org/officeDocument/2006/relationships/image" Target="../media/image94.jpg"/><Relationship Id="rId331" Type="http://schemas.openxmlformats.org/officeDocument/2006/relationships/image" Target="../media/image166.jpg"/><Relationship Id="rId352" Type="http://schemas.openxmlformats.org/officeDocument/2006/relationships/image" Target="file:///D:\__Study\Projects\C%23\AzurLane\AzurLane\Pics\Equip\Cannon\&#21452;&#32852;&#35013;127mm&#39640;&#24179;&#20004;&#29992;&#28846;Mk12T1.jpg" TargetMode="External"/><Relationship Id="rId1" Type="http://schemas.openxmlformats.org/officeDocument/2006/relationships/image" Target="../media/image1.jpg"/><Relationship Id="rId212" Type="http://schemas.openxmlformats.org/officeDocument/2006/relationships/image" Target="file:///D:\__Study\Projects\C%23\AzurLane\AzurLane\Pics\Equip\Cannon\&#21452;&#32852;&#35013;203mmSKC&#20027;&#28846;T2.jpg" TargetMode="External"/><Relationship Id="rId233" Type="http://schemas.openxmlformats.org/officeDocument/2006/relationships/image" Target="../media/image117.jpg"/><Relationship Id="rId254" Type="http://schemas.openxmlformats.org/officeDocument/2006/relationships/image" Target="file:///D:\__Study\Projects\C%23\AzurLane\AzurLane\Pics\Equip\Cannon\&#21452;&#32852;100mm98&#24335;&#39640;&#23556;&#28846;T3.jpg" TargetMode="External"/><Relationship Id="rId28" Type="http://schemas.openxmlformats.org/officeDocument/2006/relationships/image" Target="file:///D:\__Study\Projects\C%23\AzurLane\AzurLane\Pics\Equip\Cannon\138.6mm&#21333;&#35013;&#28846;Mle1927T1.jpg" TargetMode="External"/><Relationship Id="rId49" Type="http://schemas.openxmlformats.org/officeDocument/2006/relationships/image" Target="../media/image25.jpg"/><Relationship Id="rId114" Type="http://schemas.openxmlformats.org/officeDocument/2006/relationships/image" Target="file:///D:\__Study\Projects\C%23\AzurLane\AzurLane\Pics\Equip\Cannon\356mm&#36830;&#35013;&#28846;T2.jpg" TargetMode="External"/><Relationship Id="rId275" Type="http://schemas.openxmlformats.org/officeDocument/2006/relationships/image" Target="../media/image138.jpg"/><Relationship Id="rId296" Type="http://schemas.openxmlformats.org/officeDocument/2006/relationships/image" Target="file:///D:\__Study\Projects\C%23\AzurLane\AzurLane\Pics\Equip\Cannon\&#35797;&#20316;&#22411;&#19977;&#32852;&#35013;310mm&#20027;&#28846;T0.jpg" TargetMode="External"/><Relationship Id="rId300" Type="http://schemas.openxmlformats.org/officeDocument/2006/relationships/image" Target="file:///D:\__Study\Projects\C%23\AzurLane\AzurLane\Pics\Equip\Cannon\&#22235;&#32852;&#35013;330mm&#20027;&#28846;Mle1931T2.jpg" TargetMode="External"/><Relationship Id="rId60" Type="http://schemas.openxmlformats.org/officeDocument/2006/relationships/image" Target="file:///D:\__Study\Projects\C%23\AzurLane\AzurLane\Pics\Equip\Cannon\&#22235;&#32852;&#35013;356mm&#20027;&#28846;T1.jpg" TargetMode="External"/><Relationship Id="rId81" Type="http://schemas.openxmlformats.org/officeDocument/2006/relationships/image" Target="../media/image41.jpg"/><Relationship Id="rId135" Type="http://schemas.openxmlformats.org/officeDocument/2006/relationships/image" Target="../media/image68.jpg"/><Relationship Id="rId156" Type="http://schemas.openxmlformats.org/officeDocument/2006/relationships/image" Target="file:///D:\__Study\Projects\C%23\AzurLane\AzurLane\Pics\Equip\Cannon\&#21452;&#32852;203mm&#20027;&#28846;Model1927T1.jpg" TargetMode="External"/><Relationship Id="rId177" Type="http://schemas.openxmlformats.org/officeDocument/2006/relationships/image" Target="../media/image89.jpg"/><Relationship Id="rId198" Type="http://schemas.openxmlformats.org/officeDocument/2006/relationships/image" Target="file:///D:\__Study\Projects\C%23\AzurLane\AzurLane\Pics\Equip\Cannon\&#21452;&#32852;&#35013;TbtsKC36&#24335;150mm&#20027;&#28846;T1.jpg" TargetMode="External"/><Relationship Id="rId321" Type="http://schemas.openxmlformats.org/officeDocument/2006/relationships/image" Target="../media/image161.jpg"/><Relationship Id="rId342" Type="http://schemas.openxmlformats.org/officeDocument/2006/relationships/image" Target="file:///D:\__Study\Projects\C%23\AzurLane\AzurLane\Pics\Equip\Cannon\203mm&#36830;&#35013;&#28846;T3.jpg" TargetMode="External"/><Relationship Id="rId202" Type="http://schemas.openxmlformats.org/officeDocument/2006/relationships/image" Target="file:///D:\__Study\Projects\C%23\AzurLane\AzurLane\Pics\Equip\Cannon\&#22235;&#32852;&#35013;130mm&#21103;&#28846;Mle1932T0.jpg" TargetMode="External"/><Relationship Id="rId223" Type="http://schemas.openxmlformats.org/officeDocument/2006/relationships/image" Target="../media/image112.jpg"/><Relationship Id="rId244" Type="http://schemas.openxmlformats.org/officeDocument/2006/relationships/image" Target="file:///D:\__Study\Projects\C%23\AzurLane\AzurLane\Pics\Equip\Cannon\&#35797;&#20316;&#22411;410mm&#19977;&#36830;&#35013;&#28846;T0.jpg" TargetMode="External"/><Relationship Id="rId18" Type="http://schemas.openxmlformats.org/officeDocument/2006/relationships/image" Target="file:///D:\__Study\Projects\C%23\AzurLane\AzurLane\Pics\Equip\Cannon\76mm&#28779;&#28846;T2.jpg" TargetMode="External"/><Relationship Id="rId39" Type="http://schemas.openxmlformats.org/officeDocument/2006/relationships/image" Target="../media/image20.jpg"/><Relationship Id="rId265" Type="http://schemas.openxmlformats.org/officeDocument/2006/relationships/image" Target="../media/image133.jpg"/><Relationship Id="rId286" Type="http://schemas.openxmlformats.org/officeDocument/2006/relationships/image" Target="file:///D:\__Study\Projects\C%23\AzurLane\AzurLane\Pics\Equip\Cannon\&#19977;&#32852;&#35013;406mm&#20027;&#28846;T3.jpg" TargetMode="External"/><Relationship Id="rId50" Type="http://schemas.openxmlformats.org/officeDocument/2006/relationships/image" Target="file:///D:\__Study\Projects\C%23\AzurLane\AzurLane\Pics\Equip\Cannon\&#21333;&#35013;127mm&#20027;&#28846;T1.jpg" TargetMode="External"/><Relationship Id="rId104" Type="http://schemas.openxmlformats.org/officeDocument/2006/relationships/image" Target="file:///D:\__Study\Projects\C%23\AzurLane\AzurLane\Pics\Equip\Cannon\&#19977;&#32852;&#35013;152mm&#20027;&#28846;T3.jpg" TargetMode="External"/><Relationship Id="rId125" Type="http://schemas.openxmlformats.org/officeDocument/2006/relationships/image" Target="../media/image63.jpg"/><Relationship Id="rId146" Type="http://schemas.openxmlformats.org/officeDocument/2006/relationships/image" Target="file:///D:\__Study\Projects\C%23\AzurLane\AzurLane\Pics\Equip\Cannon\B-37%20&#19977;&#32852;&#35013;406mm&#20027;&#28846;Mk-1T1.jpg" TargetMode="External"/><Relationship Id="rId167" Type="http://schemas.openxmlformats.org/officeDocument/2006/relationships/image" Target="../media/image84.jpg"/><Relationship Id="rId188" Type="http://schemas.openxmlformats.org/officeDocument/2006/relationships/image" Target="file:///D:\__Study\Projects\C%23\AzurLane\AzurLane\Pics\Equip\Cannon\&#21333;&#35013;SKC28&#24335;150mm&#20027;&#28846;T2.jpg" TargetMode="External"/><Relationship Id="rId311" Type="http://schemas.openxmlformats.org/officeDocument/2006/relationships/image" Target="../media/image156.jpg"/><Relationship Id="rId332" Type="http://schemas.openxmlformats.org/officeDocument/2006/relationships/image" Target="file:///D:\__Study\Projects\C%23\AzurLane\AzurLane\Pics\Equip\Cannon\&#21452;&#32852;380mmSKC&#20027;&#28846;T1.jpg" TargetMode="External"/><Relationship Id="rId353" Type="http://schemas.openxmlformats.org/officeDocument/2006/relationships/image" Target="../media/image177.jpg"/><Relationship Id="rId71" Type="http://schemas.openxmlformats.org/officeDocument/2006/relationships/image" Target="../media/image36.jpg"/><Relationship Id="rId92" Type="http://schemas.openxmlformats.org/officeDocument/2006/relationships/image" Target="file:///D:\__Study\Projects\C%23\AzurLane\AzurLane\Pics\Equip\Cannon\&#21452;&#32852;&#35013;203mm&#20027;&#28846;T1.jpg" TargetMode="External"/><Relationship Id="rId213" Type="http://schemas.openxmlformats.org/officeDocument/2006/relationships/image" Target="../media/image107.jpg"/><Relationship Id="rId234" Type="http://schemas.openxmlformats.org/officeDocument/2006/relationships/image" Target="file:///D:\__Study\Projects\C%23\AzurLane\AzurLane\Pics\Equip\Cannon\&#21452;&#32852;&#35013;203mm&#20027;&#28846;Mle1924T3.jpg" TargetMode="External"/><Relationship Id="rId2" Type="http://schemas.openxmlformats.org/officeDocument/2006/relationships/image" Target="file:///D:\__Study\Projects\C%23\AzurLane\AzurLane\Pics\Equip\Cannon\&#21452;&#32852;&#35013;120mm&#20027;&#28846;T2.jpg" TargetMode="External"/><Relationship Id="rId29" Type="http://schemas.openxmlformats.org/officeDocument/2006/relationships/image" Target="../media/image15.jpg"/><Relationship Id="rId255" Type="http://schemas.openxmlformats.org/officeDocument/2006/relationships/image" Target="../media/image128.jpg"/><Relationship Id="rId276" Type="http://schemas.openxmlformats.org/officeDocument/2006/relationships/image" Target="file:///D:\__Study\Projects\C%23\AzurLane\AzurLane\Pics\Equip\Cannon\&#19977;&#32852;&#35013;406mm&#20027;&#28846;T2.jpg" TargetMode="External"/><Relationship Id="rId297" Type="http://schemas.openxmlformats.org/officeDocument/2006/relationships/image" Target="../media/image149.jpg"/><Relationship Id="rId40" Type="http://schemas.openxmlformats.org/officeDocument/2006/relationships/image" Target="file:///D:\__Study\Projects\C%23\AzurLane\AzurLane\Pics\Equip\Cannon\&#21452;&#32852;&#35013;203mmSKC&#20027;&#28846;T1.jpg" TargetMode="External"/><Relationship Id="rId115" Type="http://schemas.openxmlformats.org/officeDocument/2006/relationships/image" Target="../media/image58.jpg"/><Relationship Id="rId136" Type="http://schemas.openxmlformats.org/officeDocument/2006/relationships/image" Target="file:///D:\__Study\Projects\C%23\AzurLane\AzurLane\Pics\Equip\Cannon\&#21452;&#32852;&#35013;203mm&#20027;&#28846;Mle1924T2.jpg" TargetMode="External"/><Relationship Id="rId157" Type="http://schemas.openxmlformats.org/officeDocument/2006/relationships/image" Target="../media/image79.jpg"/><Relationship Id="rId178" Type="http://schemas.openxmlformats.org/officeDocument/2006/relationships/image" Target="file:///D:\__Study\Projects\C%23\AzurLane\AzurLane\Pics\Equip\Cannon\&#21452;&#32852;&#35013;120mm&#28846;Model1936T3.jpg" TargetMode="External"/><Relationship Id="rId301" Type="http://schemas.openxmlformats.org/officeDocument/2006/relationships/image" Target="../media/image151.jpg"/><Relationship Id="rId322" Type="http://schemas.openxmlformats.org/officeDocument/2006/relationships/image" Target="file:///D:\__Study\Projects\C%23\AzurLane\AzurLane\Pics\Equip\Cannon\138.6mm&#21333;&#35013;&#28846;Mle1929T1.jpg" TargetMode="External"/><Relationship Id="rId343" Type="http://schemas.openxmlformats.org/officeDocument/2006/relationships/image" Target="../media/image172.jpg"/><Relationship Id="rId61" Type="http://schemas.openxmlformats.org/officeDocument/2006/relationships/image" Target="../media/image31.jpg"/><Relationship Id="rId82" Type="http://schemas.openxmlformats.org/officeDocument/2006/relationships/image" Target="file:///D:\__Study\Projects\C%23\AzurLane\AzurLane\Pics\Equip\Cannon\&#21452;&#32852;&#35013;TbtsKC36&#24335;150mm&#20027;&#28846;T3.jpg" TargetMode="External"/><Relationship Id="rId199" Type="http://schemas.openxmlformats.org/officeDocument/2006/relationships/image" Target="../media/image100.jpg"/><Relationship Id="rId203" Type="http://schemas.openxmlformats.org/officeDocument/2006/relationships/image" Target="../media/image102.jpg"/><Relationship Id="rId19" Type="http://schemas.openxmlformats.org/officeDocument/2006/relationships/image" Target="../media/image10.jpg"/><Relationship Id="rId224" Type="http://schemas.openxmlformats.org/officeDocument/2006/relationships/image" Target="file:///D:\__Study\Projects\C%23\AzurLane\AzurLane\Pics\Equip\Cannon\&#19977;&#32852;283mmSKC34&#20027;&#28846;T1.jpg" TargetMode="External"/><Relationship Id="rId245" Type="http://schemas.openxmlformats.org/officeDocument/2006/relationships/image" Target="../media/image123.jpg"/><Relationship Id="rId266" Type="http://schemas.openxmlformats.org/officeDocument/2006/relationships/image" Target="file:///D:\__Study\Projects\C%23\AzurLane\AzurLane\Pics\Equip\Cannon\155mm&#19977;&#36830;&#35013;&#28846;T3.jpg" TargetMode="External"/><Relationship Id="rId287" Type="http://schemas.openxmlformats.org/officeDocument/2006/relationships/image" Target="../media/image144.jpg"/><Relationship Id="rId30" Type="http://schemas.openxmlformats.org/officeDocument/2006/relationships/image" Target="file:///D:\__Study\Projects\C%23\AzurLane\AzurLane\Pics\Equip\Cannon\127mm&#36830;&#35013;&#28846;T1.jpg" TargetMode="External"/><Relationship Id="rId105" Type="http://schemas.openxmlformats.org/officeDocument/2006/relationships/image" Target="../media/image53.jpg"/><Relationship Id="rId126" Type="http://schemas.openxmlformats.org/officeDocument/2006/relationships/image" Target="file:///D:\__Study\Projects\C%23\AzurLane\AzurLane\Pics\Equip\Cannon\140mm&#21333;&#35013;&#28846;T1.jpg" TargetMode="External"/><Relationship Id="rId147" Type="http://schemas.openxmlformats.org/officeDocument/2006/relationships/image" Target="../media/image74.jpg"/><Relationship Id="rId168" Type="http://schemas.openxmlformats.org/officeDocument/2006/relationships/image" Target="file:///D:\__Study\Projects\C%23\AzurLane\AzurLane\Pics\Equip\Cannon\&#21452;&#32852;&#35013;152mm&#20027;&#28846;T2.jpg" TargetMode="External"/><Relationship Id="rId312" Type="http://schemas.openxmlformats.org/officeDocument/2006/relationships/image" Target="file:///D:\__Study\Projects\C%23\AzurLane\AzurLane\Pics\Equip\Cannon\&#21333;&#35013;152mm&#21103;&#28846;T2.jpg" TargetMode="External"/><Relationship Id="rId333" Type="http://schemas.openxmlformats.org/officeDocument/2006/relationships/image" Target="../media/image167.jpg"/><Relationship Id="rId354" Type="http://schemas.openxmlformats.org/officeDocument/2006/relationships/image" Target="file:///D:\__Study\Projects\C%23\AzurLane\AzurLane\Pics\Equip\Cannon\&#19977;&#32852;&#35013;406mm&#20027;&#28846;Mk6T1.jpg" TargetMode="External"/><Relationship Id="rId51" Type="http://schemas.openxmlformats.org/officeDocument/2006/relationships/image" Target="../media/image26.jpg"/><Relationship Id="rId72" Type="http://schemas.openxmlformats.org/officeDocument/2006/relationships/image" Target="file:///D:\__Study\Projects\C%23\AzurLane\AzurLane\Pics\Equip\Cannon\&#19977;&#32852;&#35013;SKC25&#24335;150mm&#20027;&#28846;T3.jpg" TargetMode="External"/><Relationship Id="rId93" Type="http://schemas.openxmlformats.org/officeDocument/2006/relationships/image" Target="../media/image47.jpg"/><Relationship Id="rId189" Type="http://schemas.openxmlformats.org/officeDocument/2006/relationships/image" Target="../media/image95.jpg"/><Relationship Id="rId3" Type="http://schemas.openxmlformats.org/officeDocument/2006/relationships/image" Target="../media/image2.jpg"/><Relationship Id="rId214" Type="http://schemas.openxmlformats.org/officeDocument/2006/relationships/image" Target="file:///D:\__Study\Projects\C%23\AzurLane\AzurLane\Pics\Equip\Cannon\&#21452;&#32852;&#35013;203mmSKC&#20027;&#28846;T3.jpg" TargetMode="External"/><Relationship Id="rId235" Type="http://schemas.openxmlformats.org/officeDocument/2006/relationships/image" Target="../media/image118.jpg"/><Relationship Id="rId256" Type="http://schemas.openxmlformats.org/officeDocument/2006/relationships/image" Target="file:///D:\__Study\Projects\C%23\AzurLane\AzurLane\Pics\Equip\Cannon\127mm&#21333;&#35013;&#28846;T1.jpg" TargetMode="External"/><Relationship Id="rId277" Type="http://schemas.openxmlformats.org/officeDocument/2006/relationships/image" Target="../media/image139.jpg"/><Relationship Id="rId298" Type="http://schemas.openxmlformats.org/officeDocument/2006/relationships/image" Target="file:///D:\__Study\Projects\C%23\AzurLane\AzurLane\Pics\Equip\Cannon\&#22235;&#32852;&#35013;380mm&#20027;&#28846;Mle1935T3.jpg" TargetMode="External"/><Relationship Id="rId116" Type="http://schemas.openxmlformats.org/officeDocument/2006/relationships/image" Target="file:///D:\__Study\Projects\C%23\AzurLane\AzurLane\Pics\Equip\Cannon\&#22235;&#32852;&#35013;356mm&#20027;&#28846;T2.jpg" TargetMode="External"/><Relationship Id="rId137" Type="http://schemas.openxmlformats.org/officeDocument/2006/relationships/image" Target="../media/image69.jpg"/><Relationship Id="rId158" Type="http://schemas.openxmlformats.org/officeDocument/2006/relationships/image" Target="file:///D:\__Study\Projects\C%23\AzurLane\AzurLane\Pics\Equip\Cannon\&#21452;&#32852;&#35013;127mm&#39640;&#24179;&#20004;&#29992;&#28846;Mk12T3.jpg" TargetMode="External"/><Relationship Id="rId302" Type="http://schemas.openxmlformats.org/officeDocument/2006/relationships/image" Target="file:///D:\__Study\Projects\C%23\AzurLane\AzurLane\Pics\Equip\Cannon\410mm&#36830;&#35013;&#28846;(&#19977;&#24335;&#24377;)T0.jpg" TargetMode="External"/><Relationship Id="rId323" Type="http://schemas.openxmlformats.org/officeDocument/2006/relationships/image" Target="../media/image162.jpg"/><Relationship Id="rId344" Type="http://schemas.openxmlformats.org/officeDocument/2006/relationships/image" Target="file:///D:\__Study\Projects\C%23\AzurLane\AzurLane\Pics\Equip\Cannon\&#19977;&#32852;&#35013;102mm&#21103;&#28846;T3.jpg" TargetMode="External"/><Relationship Id="rId20" Type="http://schemas.openxmlformats.org/officeDocument/2006/relationships/image" Target="file:///D:\__Study\Projects\C%23\AzurLane\AzurLane\Pics\Equip\Cannon\&#19977;&#32852;&#35013;102mm&#21103;&#28846;T2.jpg" TargetMode="External"/><Relationship Id="rId41" Type="http://schemas.openxmlformats.org/officeDocument/2006/relationships/image" Target="../media/image21.jpg"/><Relationship Id="rId62" Type="http://schemas.openxmlformats.org/officeDocument/2006/relationships/image" Target="file:///D:\__Study\Projects\C%23\AzurLane\AzurLane\Pics\Equip\Cannon\&#19977;&#32852;&#35013;152mm&#20027;&#28846;Mle1930T3.jpg" TargetMode="External"/><Relationship Id="rId83" Type="http://schemas.openxmlformats.org/officeDocument/2006/relationships/image" Target="../media/image42.jpg"/><Relationship Id="rId179" Type="http://schemas.openxmlformats.org/officeDocument/2006/relationships/image" Target="../media/image90.jpg"/><Relationship Id="rId190" Type="http://schemas.openxmlformats.org/officeDocument/2006/relationships/image" Target="file:///D:\__Study\Projects\C%23\AzurLane\AzurLane\Pics\Equip\Cannon\&#21452;&#32852;&#35013;130mm&#20027;&#28846;Mle1935T1.jpg" TargetMode="External"/><Relationship Id="rId204" Type="http://schemas.openxmlformats.org/officeDocument/2006/relationships/image" Target="file:///D:\__Study\Projects\C%23\AzurLane\AzurLane\Pics\Equip\Cannon\&#19977;&#32852;&#35013;356mm&#20027;&#28846;T1.jpg" TargetMode="External"/><Relationship Id="rId225" Type="http://schemas.openxmlformats.org/officeDocument/2006/relationships/image" Target="../media/image113.jpg"/><Relationship Id="rId246" Type="http://schemas.openxmlformats.org/officeDocument/2006/relationships/image" Target="file:///D:\__Study\Projects\C%23\AzurLane\AzurLane\Pics\Equip\Cannon\&#19977;&#32852;&#35013;406mm&#20027;&#28846;T1.jpg" TargetMode="External"/><Relationship Id="rId267" Type="http://schemas.openxmlformats.org/officeDocument/2006/relationships/image" Target="../media/image134.jpg"/><Relationship Id="rId288" Type="http://schemas.openxmlformats.org/officeDocument/2006/relationships/image" Target="file:///D:\__Study\Projects\C%23\AzurLane\AzurLane\Pics\Equip\Cannon\&#35797;&#20316;&#22411;203mm(3&#21495;)&#36830;&#35013;&#28846;T0.jpg" TargetMode="External"/><Relationship Id="rId106" Type="http://schemas.openxmlformats.org/officeDocument/2006/relationships/image" Target="file:///D:\__Study\Projects\C%23\AzurLane\AzurLane\Pics\Equip\Cannon\155mm&#19977;&#36830;&#35013;&#28846;T1.jpg" TargetMode="External"/><Relationship Id="rId127" Type="http://schemas.openxmlformats.org/officeDocument/2006/relationships/image" Target="../media/image64.jpg"/><Relationship Id="rId313" Type="http://schemas.openxmlformats.org/officeDocument/2006/relationships/image" Target="../media/image157.jpg"/><Relationship Id="rId10" Type="http://schemas.openxmlformats.org/officeDocument/2006/relationships/image" Target="file:///D:\__Study\Projects\C%23\AzurLane\AzurLane\Pics\Equip\Cannon\&#19977;&#32852;&#35013;320mm&#20027;&#28846;Model1934T0.jpg" TargetMode="External"/><Relationship Id="rId31" Type="http://schemas.openxmlformats.org/officeDocument/2006/relationships/image" Target="../media/image16.jpg"/><Relationship Id="rId52" Type="http://schemas.openxmlformats.org/officeDocument/2006/relationships/image" Target="file:///D:\__Study\Projects\C%23\AzurLane\AzurLane\Pics\Equip\Cannon\&#19977;&#32852;&#35013;381mm&#20027;&#28846;Model1934T2.jpg" TargetMode="External"/><Relationship Id="rId73" Type="http://schemas.openxmlformats.org/officeDocument/2006/relationships/image" Target="../media/image37.jpg"/><Relationship Id="rId94" Type="http://schemas.openxmlformats.org/officeDocument/2006/relationships/image" Target="file:///D:\__Study\Projects\C%23\AzurLane\AzurLane\Pics\Equip\Cannon\&#21452;&#32852;100mm98&#24335;&#39640;&#23556;&#28846;T1.jpg" TargetMode="External"/><Relationship Id="rId148" Type="http://schemas.openxmlformats.org/officeDocument/2006/relationships/image" Target="file:///D:\__Study\Projects\C%23\AzurLane\AzurLane\Pics\Equip\Cannon\&#35797;&#20316;&#22411;&#19977;&#32852;&#35013;234mm&#20027;&#28846;T0.jpg" TargetMode="External"/><Relationship Id="rId169" Type="http://schemas.openxmlformats.org/officeDocument/2006/relationships/image" Target="../media/image85.jpg"/><Relationship Id="rId334" Type="http://schemas.openxmlformats.org/officeDocument/2006/relationships/image" Target="file:///D:\__Study\Projects\C%23\AzurLane\AzurLane\Pics\Equip\Cannon\&#21452;&#32852;203mm&#20027;&#28846;Model1924T1.jpg" TargetMode="External"/><Relationship Id="rId355" Type="http://schemas.openxmlformats.org/officeDocument/2006/relationships/image" Target="../media/image178.jpg"/><Relationship Id="rId4" Type="http://schemas.openxmlformats.org/officeDocument/2006/relationships/image" Target="file:///D:\__Study\Projects\C%23\AzurLane\AzurLane\Pics\Equip\Cannon\&#21452;&#32852;&#35013;120mm&#28846;Model1936T1.jpg" TargetMode="External"/><Relationship Id="rId180" Type="http://schemas.openxmlformats.org/officeDocument/2006/relationships/image" Target="file:///D:\__Study\Projects\C%23\AzurLane\AzurLane\Pics\Equip\Cannon\&#21452;&#32852;&#35013;128mmSKC41&#39640;&#24179;&#20004;&#29992;&#28846;T3.jpg" TargetMode="External"/><Relationship Id="rId215" Type="http://schemas.openxmlformats.org/officeDocument/2006/relationships/image" Target="../media/image108.jpg"/><Relationship Id="rId236" Type="http://schemas.openxmlformats.org/officeDocument/2006/relationships/image" Target="file:///D:\__Study\Projects\C%23\AzurLane\AzurLane\Pics\Equip\Cannon\&#21452;&#32852;&#35013;203mm&#20027;&#28846;Mle1924(&#28508;&#33351;&#29992;)T0.jpg" TargetMode="External"/><Relationship Id="rId257" Type="http://schemas.openxmlformats.org/officeDocument/2006/relationships/image" Target="../media/image129.jpg"/><Relationship Id="rId278" Type="http://schemas.openxmlformats.org/officeDocument/2006/relationships/image" Target="file:///D:\__Study\Projects\C%23\AzurLane\AzurLane\Pics\Equip\Cannon\203mm&#36830;&#35013;&#28846;T2.jpg" TargetMode="External"/><Relationship Id="rId303" Type="http://schemas.openxmlformats.org/officeDocument/2006/relationships/image" Target="../media/image152.jpg"/><Relationship Id="rId42" Type="http://schemas.openxmlformats.org/officeDocument/2006/relationships/image" Target="file:///D:\__Study\Projects\C%23\AzurLane\AzurLane\Pics\Equip\Cannon\&#21452;&#32852;&#35013;203mm&#20027;&#28846;Mle1924T1.jpg" TargetMode="External"/><Relationship Id="rId84" Type="http://schemas.openxmlformats.org/officeDocument/2006/relationships/image" Target="file:///D:\__Study\Projects\C%23\AzurLane\AzurLane\Pics\Equip\Cannon\130mm&#21333;&#35013;&#28846;T3.jpg" TargetMode="External"/><Relationship Id="rId138" Type="http://schemas.openxmlformats.org/officeDocument/2006/relationships/image" Target="file:///D:\__Study\Projects\C%23\AzurLane\AzurLane\Pics\Equip\Cannon\&#21333;&#35013;152mm&#21103;&#28846;T3.jpg" TargetMode="External"/><Relationship Id="rId345" Type="http://schemas.openxmlformats.org/officeDocument/2006/relationships/image" Target="../media/image173.jpg"/><Relationship Id="rId191" Type="http://schemas.openxmlformats.org/officeDocument/2006/relationships/image" Target="../media/image96.jpg"/><Relationship Id="rId205" Type="http://schemas.openxmlformats.org/officeDocument/2006/relationships/image" Target="../media/image103.jpg"/><Relationship Id="rId247" Type="http://schemas.openxmlformats.org/officeDocument/2006/relationships/image" Target="../media/image124.jpg"/><Relationship Id="rId107" Type="http://schemas.openxmlformats.org/officeDocument/2006/relationships/image" Target="../media/image54.jpg"/><Relationship Id="rId289" Type="http://schemas.openxmlformats.org/officeDocument/2006/relationships/image" Target="../media/image145.jpg"/><Relationship Id="rId11" Type="http://schemas.openxmlformats.org/officeDocument/2006/relationships/image" Target="../media/image6.jpg"/><Relationship Id="rId53" Type="http://schemas.openxmlformats.org/officeDocument/2006/relationships/image" Target="../media/image27.jpg"/><Relationship Id="rId149" Type="http://schemas.openxmlformats.org/officeDocument/2006/relationships/image" Target="../media/image75.jpg"/><Relationship Id="rId314" Type="http://schemas.openxmlformats.org/officeDocument/2006/relationships/image" Target="file:///D:\__Study\Projects\C%23\AzurLane\AzurLane\Pics\Equip\Cannon\76mm&#28779;&#28846;T1.jpg" TargetMode="External"/><Relationship Id="rId356" Type="http://schemas.openxmlformats.org/officeDocument/2006/relationships/image" Target="file:///D:\__Study\Projects\C%23\AzurLane\AzurLane\Pics\Equip\Cannon\&#21452;&#32852;&#35013;120mm&#20027;&#28846;T1.jpg" TargetMode="External"/><Relationship Id="rId95" Type="http://schemas.openxmlformats.org/officeDocument/2006/relationships/image" Target="../media/image48.jpg"/><Relationship Id="rId160" Type="http://schemas.openxmlformats.org/officeDocument/2006/relationships/image" Target="file:///D:\__Study\Projects\C%23\AzurLane\AzurLane\Pics\Equip\Cannon\140mm&#36830;&#35013;&#28846;T1.jpg" TargetMode="External"/><Relationship Id="rId216" Type="http://schemas.openxmlformats.org/officeDocument/2006/relationships/image" Target="file:///D:\__Study\Projects\C%23\AzurLane\AzurLane\Pics\Equip\Cannon\127mm&#36830;&#35013;&#28846;T2.jpg" TargetMode="External"/><Relationship Id="rId258" Type="http://schemas.openxmlformats.org/officeDocument/2006/relationships/image" Target="file:///D:\__Study\Projects\C%23\AzurLane\AzurLane\Pics\Equip\Cannon\&#21452;&#32852;&#35013;152mm&#20027;&#28846;T3.jpg" TargetMode="External"/><Relationship Id="rId22" Type="http://schemas.openxmlformats.org/officeDocument/2006/relationships/image" Target="file:///D:\__Study\Projects\C%23\AzurLane\AzurLane\Pics\Equip\Cannon\&#21452;&#32852;&#35013;406mm&#20027;&#28846;Mk5T2.jpg" TargetMode="External"/><Relationship Id="rId64" Type="http://schemas.openxmlformats.org/officeDocument/2006/relationships/image" Target="file:///D:\__Study\Projects\C%23\AzurLane\AzurLane\Pics\Equip\Cannon\&#21452;&#32852;380mmSKC&#20027;&#28846;T3.jpg" TargetMode="External"/><Relationship Id="rId118" Type="http://schemas.openxmlformats.org/officeDocument/2006/relationships/image" Target="file:///D:\__Study\Projects\C%23\AzurLane\AzurLane\Pics\Equip\Cannon\356mm&#36830;&#35013;&#28846;T3.jpg" TargetMode="External"/><Relationship Id="rId325" Type="http://schemas.openxmlformats.org/officeDocument/2006/relationships/image" Target="../media/image163.jpg"/><Relationship Id="rId171" Type="http://schemas.openxmlformats.org/officeDocument/2006/relationships/image" Target="../media/image86.jpg"/><Relationship Id="rId227" Type="http://schemas.openxmlformats.org/officeDocument/2006/relationships/image" Target="../media/image114.jpg"/><Relationship Id="rId269" Type="http://schemas.openxmlformats.org/officeDocument/2006/relationships/image" Target="../media/image135.jpg"/><Relationship Id="rId33" Type="http://schemas.openxmlformats.org/officeDocument/2006/relationships/image" Target="../media/image17.jpg"/><Relationship Id="rId129" Type="http://schemas.openxmlformats.org/officeDocument/2006/relationships/image" Target="../media/image65.jpg"/><Relationship Id="rId280" Type="http://schemas.openxmlformats.org/officeDocument/2006/relationships/image" Target="file:///D:\__Study\Projects\C%23\AzurLane\AzurLane\Pics\Equip\Cannon\B-38%20&#19977;&#32852;&#35013;152mm&#20027;&#28846;Mk5T2.jpg" TargetMode="External"/><Relationship Id="rId336" Type="http://schemas.openxmlformats.org/officeDocument/2006/relationships/image" Target="file:///D:\__Study\Projects\C%23\AzurLane\AzurLane\Pics\Equip\Cannon\&#21452;&#32852;&#35013;127mm&#39640;&#24179;&#20004;&#29992;&#28846;Mk12T2.jpg" TargetMode="External"/><Relationship Id="rId75" Type="http://schemas.openxmlformats.org/officeDocument/2006/relationships/image" Target="../media/image38.jpg"/><Relationship Id="rId140" Type="http://schemas.openxmlformats.org/officeDocument/2006/relationships/image" Target="file:///D:\__Study\Projects\C%23\AzurLane\AzurLane\Pics\Equip\Cannon\&#21452;&#32852;100mm98&#24335;&#39640;&#23556;&#28846;T2.jpg" TargetMode="External"/><Relationship Id="rId182" Type="http://schemas.openxmlformats.org/officeDocument/2006/relationships/image" Target="file:///D:\__Study\Projects\C%23\AzurLane\AzurLane\Pics\Equip\Cannon\&#21333;&#35013;127mm&#20027;&#28846;T3.jpg" TargetMode="External"/><Relationship Id="rId6" Type="http://schemas.openxmlformats.org/officeDocument/2006/relationships/image" Target="file:///D:\__Study\Projects\C%23\AzurLane\AzurLane\Pics\Equip\Cannon\&#19977;&#32852;&#35013;406mm&#20027;&#28846;Mk6T2.jpg" TargetMode="External"/><Relationship Id="rId238" Type="http://schemas.openxmlformats.org/officeDocument/2006/relationships/image" Target="file:///D:\__Study\Projects\C%23\AzurLane\AzurLane\Pics\Equip\Cannon\&#19977;&#32852;&#35013;203mm&#20027;&#28846;&#25913;&#36827;&#22411;T2.jpg" TargetMode="External"/><Relationship Id="rId291" Type="http://schemas.openxmlformats.org/officeDocument/2006/relationships/image" Target="../media/image146.jpg"/><Relationship Id="rId305" Type="http://schemas.openxmlformats.org/officeDocument/2006/relationships/image" Target="../media/image153.jpg"/><Relationship Id="rId347" Type="http://schemas.openxmlformats.org/officeDocument/2006/relationships/image" Target="../media/image174.jpg"/><Relationship Id="rId44" Type="http://schemas.openxmlformats.org/officeDocument/2006/relationships/image" Target="file:///D:\__Study\Projects\C%23\AzurLane\AzurLane\Pics\Equip\Cannon\&#21452;&#32852;203mm&#20027;&#28846;Model1927T2.jpg" TargetMode="External"/><Relationship Id="rId86" Type="http://schemas.openxmlformats.org/officeDocument/2006/relationships/image" Target="file:///D:\__Study\Projects\C%23\AzurLane\AzurLane\Pics\Equip\Cannon\155mm&#19977;&#36830;&#35013;&#28846;T2.jpg" TargetMode="External"/><Relationship Id="rId151" Type="http://schemas.openxmlformats.org/officeDocument/2006/relationships/image" Target="../media/image76.jpg"/><Relationship Id="rId193" Type="http://schemas.openxmlformats.org/officeDocument/2006/relationships/image" Target="../media/image97.jpg"/><Relationship Id="rId207" Type="http://schemas.openxmlformats.org/officeDocument/2006/relationships/image" Target="../media/image104.jpg"/><Relationship Id="rId249" Type="http://schemas.openxmlformats.org/officeDocument/2006/relationships/image" Target="../media/image125.jpg"/><Relationship Id="rId13" Type="http://schemas.openxmlformats.org/officeDocument/2006/relationships/image" Target="../media/image7.jpg"/><Relationship Id="rId109" Type="http://schemas.openxmlformats.org/officeDocument/2006/relationships/image" Target="../media/image55.jpg"/><Relationship Id="rId260" Type="http://schemas.openxmlformats.org/officeDocument/2006/relationships/image" Target="file:///D:\__Study\Projects\C%23\AzurLane\AzurLane\Pics\Equip\Cannon\&#19977;&#32852;283mmSKC28&#20027;&#28846;T3.jpg" TargetMode="External"/><Relationship Id="rId316" Type="http://schemas.openxmlformats.org/officeDocument/2006/relationships/image" Target="file:///D:\__Study\Projects\C%23\AzurLane\AzurLane\Pics\Equip\Cannon\&#21452;&#32852;&#35013;406mm&#20027;&#28846;Mk5T3.jpg" TargetMode="External"/><Relationship Id="rId55" Type="http://schemas.openxmlformats.org/officeDocument/2006/relationships/image" Target="../media/image28.jpg"/><Relationship Id="rId97" Type="http://schemas.openxmlformats.org/officeDocument/2006/relationships/image" Target="../media/image49.jpg"/><Relationship Id="rId120" Type="http://schemas.openxmlformats.org/officeDocument/2006/relationships/image" Target="file:///D:\__Study\Projects\C%23\AzurLane\AzurLane\Pics\Equip\Cannon\410mm&#36830;&#35013;&#28846;T2.jpg" TargetMode="External"/><Relationship Id="rId358" Type="http://schemas.openxmlformats.org/officeDocument/2006/relationships/image" Target="file:///D:\__Study\Projects\C%23\AzurLane\AzurLane\Pics\Equip\Cannon\&#21333;&#35013;102mm&#21103;&#28846;T2.jpg" TargetMode="External"/><Relationship Id="rId162" Type="http://schemas.openxmlformats.org/officeDocument/2006/relationships/image" Target="file:///D:\__Study\Projects\C%23\AzurLane\AzurLane\Pics\Equip\Cannon\&#21452;&#32852;&#35013;381mm&#20027;&#28846;T3.jpg" TargetMode="External"/><Relationship Id="rId218" Type="http://schemas.openxmlformats.org/officeDocument/2006/relationships/image" Target="file:///D:\__Study\Projects\C%23\AzurLane\AzurLane\Pics\Equip\Cannon\B-38%20&#19977;&#32852;&#35013;152mm&#20027;&#28846;Mk5T1.jpg" TargetMode="External"/><Relationship Id="rId271" Type="http://schemas.openxmlformats.org/officeDocument/2006/relationships/image" Target="../media/image136.jpg"/><Relationship Id="rId24" Type="http://schemas.openxmlformats.org/officeDocument/2006/relationships/image" Target="file:///D:\__Study\Projects\C%23\AzurLane\AzurLane\Pics\Equip\Cannon\&#21452;&#32852;&#35013;134mm&#39640;&#28846;T2.jpg" TargetMode="External"/><Relationship Id="rId66" Type="http://schemas.openxmlformats.org/officeDocument/2006/relationships/image" Target="file:///D:\__Study\Projects\C%23\AzurLane\AzurLane\Pics\Equip\Cannon\&#22235;&#32852;&#35013;356mm&#20027;&#28846;T3.jpg" TargetMode="External"/><Relationship Id="rId131" Type="http://schemas.openxmlformats.org/officeDocument/2006/relationships/image" Target="../media/image66.jpg"/><Relationship Id="rId327" Type="http://schemas.openxmlformats.org/officeDocument/2006/relationships/image" Target="../media/image164.jpg"/><Relationship Id="rId173" Type="http://schemas.openxmlformats.org/officeDocument/2006/relationships/image" Target="../media/image87.jpg"/><Relationship Id="rId229" Type="http://schemas.openxmlformats.org/officeDocument/2006/relationships/image" Target="../media/image115.jpg"/><Relationship Id="rId240" Type="http://schemas.openxmlformats.org/officeDocument/2006/relationships/image" Target="file:///D:\__Study\Projects\C%23\AzurLane\AzurLane\Pics\Equip\Cannon\&#21333;&#35013;127mm&#20027;&#28846;T2.jpg" TargetMode="External"/><Relationship Id="rId35" Type="http://schemas.openxmlformats.org/officeDocument/2006/relationships/image" Target="../media/image18.jpg"/><Relationship Id="rId77" Type="http://schemas.openxmlformats.org/officeDocument/2006/relationships/image" Target="../media/image39.jpg"/><Relationship Id="rId100" Type="http://schemas.openxmlformats.org/officeDocument/2006/relationships/image" Target="file:///D:\__Study\Projects\C%23\AzurLane\AzurLane\Pics\Equip\Cannon\&#19977;&#32852;&#35013;203mm&#20027;&#28846;&#25913;&#36827;&#22411;T1.jpg" TargetMode="External"/><Relationship Id="rId282" Type="http://schemas.openxmlformats.org/officeDocument/2006/relationships/image" Target="file:///D:\__Study\Projects\C%23\AzurLane\AzurLane\Pics\Equip\Cannon\&#22235;&#32852;&#35013;330mm&#20027;&#28846;Mle1931T3.jpg" TargetMode="External"/><Relationship Id="rId338" Type="http://schemas.openxmlformats.org/officeDocument/2006/relationships/image" Target="file:///D:\__Study\Projects\C%23\AzurLane\AzurLane\Pics\Equip\Cannon\&#19977;&#32852;&#35013;203mm&#20027;&#28846;T1.jpg" TargetMode="External"/><Relationship Id="rId8" Type="http://schemas.openxmlformats.org/officeDocument/2006/relationships/image" Target="file:///D:\__Study\Projects\C%23\AzurLane\AzurLane\Pics\Equip\Cannon\&#21452;&#32852;&#35013;120mm&#20027;&#28846;T3.jpg" TargetMode="External"/><Relationship Id="rId142" Type="http://schemas.openxmlformats.org/officeDocument/2006/relationships/image" Target="file:///D:\__Study\Projects\C%23\AzurLane\AzurLane\Pics\Equip\Cannon\&#21452;&#32852;&#35013;128mmSKC41&#39640;&#24179;&#20004;&#29992;&#28846;T2.jpg" TargetMode="External"/><Relationship Id="rId184" Type="http://schemas.openxmlformats.org/officeDocument/2006/relationships/image" Target="file:///D:\__Study\Projects\C%23\AzurLane\AzurLane\Pics\Equip\Cannon\&#22235;&#32852;&#35013;380mm&#20027;&#28846;Mle1935T2.jpg" TargetMode="External"/><Relationship Id="rId251" Type="http://schemas.openxmlformats.org/officeDocument/2006/relationships/image" Target="../media/image126.jpg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39.jpeg"/><Relationship Id="rId21" Type="http://schemas.openxmlformats.org/officeDocument/2006/relationships/image" Target="../media/image191.jpeg"/><Relationship Id="rId42" Type="http://schemas.openxmlformats.org/officeDocument/2006/relationships/image" Target="file:///D:\__Study\Projects\C%23\AzurLane\AzurLane\Pics\Equip\Antiair\25mm&#39640;&#23556;&#26426;&#26538;T1.jpg" TargetMode="External"/><Relationship Id="rId63" Type="http://schemas.openxmlformats.org/officeDocument/2006/relationships/image" Target="../media/image212.jpeg"/><Relationship Id="rId84" Type="http://schemas.openxmlformats.org/officeDocument/2006/relationships/image" Target="file:///D:\__Study\Projects\C%23\AzurLane\AzurLane\Pics\Equip\Antiair\&#20843;&#32852;&#35013;40mm&#8220;&#30768;&#30768;&#8221;&#28846;T1.jpg" TargetMode="External"/><Relationship Id="rId138" Type="http://schemas.openxmlformats.org/officeDocument/2006/relationships/image" Target="file:///D:\__Study\Projects\C%23\AzurLane\AzurLane\Pics\Equip\Antiair\&#21452;&#32852;&#35013;40mm&#8220;&#30768;&#30768;&#8221;&#28846;T3.jpg" TargetMode="External"/><Relationship Id="rId159" Type="http://schemas.openxmlformats.org/officeDocument/2006/relationships/image" Target="../media/image260.jpeg"/><Relationship Id="rId170" Type="http://schemas.openxmlformats.org/officeDocument/2006/relationships/image" Target="file:///D:\__Study\Projects\C%23\AzurLane\AzurLane\Pics\Equip\Antiair\&#27608;&#24335;40mm&#36830;&#35013;&#26426;&#26538;T2.jpg" TargetMode="External"/><Relationship Id="rId107" Type="http://schemas.openxmlformats.org/officeDocument/2006/relationships/image" Target="../media/image234.jpeg"/><Relationship Id="rId11" Type="http://schemas.openxmlformats.org/officeDocument/2006/relationships/image" Target="../media/image186.jpeg"/><Relationship Id="rId32" Type="http://schemas.openxmlformats.org/officeDocument/2006/relationships/image" Target="file:///D:\__Study\Projects\C%23\AzurLane\AzurLane\Pics\Equip\Antiair\25mm&#19977;&#36830;&#35013;&#39640;&#23556;&#26426;&#26538;T2.jpg" TargetMode="External"/><Relationship Id="rId53" Type="http://schemas.openxmlformats.org/officeDocument/2006/relationships/image" Target="../media/image207.jpeg"/><Relationship Id="rId74" Type="http://schemas.openxmlformats.org/officeDocument/2006/relationships/image" Target="file:///D:\__Study\Projects\C%23\AzurLane\AzurLane\Pics\Equip\Antiair\B-34%20100mm&#21452;&#32852;&#35013;&#38450;&#31354;&#28846;MZ-14T1.jpg" TargetMode="External"/><Relationship Id="rId128" Type="http://schemas.openxmlformats.org/officeDocument/2006/relationships/image" Target="file:///D:\__Study\Projects\C%23\AzurLane\AzurLane\Pics\Equip\Antiair\&#21452;&#32852;&#35013;113mm&#39640;&#23556;&#28846;T2.jpg" TargetMode="External"/><Relationship Id="rId149" Type="http://schemas.openxmlformats.org/officeDocument/2006/relationships/image" Target="../media/image255.jpeg"/><Relationship Id="rId5" Type="http://schemas.openxmlformats.org/officeDocument/2006/relationships/image" Target="../media/image183.jpeg"/><Relationship Id="rId95" Type="http://schemas.openxmlformats.org/officeDocument/2006/relationships/image" Target="../media/image228.jpeg"/><Relationship Id="rId160" Type="http://schemas.openxmlformats.org/officeDocument/2006/relationships/image" Target="file:///D:\__Study\Projects\C%23\AzurLane\AzurLane\Pics\Equip\Antiair\&#22235;&#32852;&#35013;28mm&#8220;&#33437;&#21152;&#21733;&#38050;&#29748;&#8221;T3.jpg" TargetMode="External"/><Relationship Id="rId22" Type="http://schemas.openxmlformats.org/officeDocument/2006/relationships/image" Target="file:///D:\__Study\Projects\C%23\AzurLane\AzurLane\Pics\Equip\Antiair\127mm&#36830;&#35013;&#39640;&#23556;&#28846;T3.jpg" TargetMode="External"/><Relationship Id="rId43" Type="http://schemas.openxmlformats.org/officeDocument/2006/relationships/image" Target="../media/image202.jpeg"/><Relationship Id="rId64" Type="http://schemas.openxmlformats.org/officeDocument/2006/relationships/image" Target="file:///D:\__Study\Projects\C%23\AzurLane\AzurLane\Pics\Equip\Antiair\76mm&#39640;&#23556;&#28846;T2.jpg" TargetMode="External"/><Relationship Id="rId118" Type="http://schemas.openxmlformats.org/officeDocument/2006/relationships/image" Target="file:///D:\__Study\Projects\C%23\AzurLane\AzurLane\Pics\Equip\Antiair\&#21452;&#32852;40mm&#21338;&#31119;&#26031;&#23545;&#31354;&#26426;&#28846;T1.jpg" TargetMode="External"/><Relationship Id="rId139" Type="http://schemas.openxmlformats.org/officeDocument/2006/relationships/image" Target="../media/image250.jpeg"/><Relationship Id="rId85" Type="http://schemas.openxmlformats.org/officeDocument/2006/relationships/image" Target="../media/image223.jpeg"/><Relationship Id="rId150" Type="http://schemas.openxmlformats.org/officeDocument/2006/relationships/image" Target="file:///D:\__Study\Projects\C%23\AzurLane\AzurLane\Pics\Equip\Antiair\&#22235;&#32852;&#35013;20mm%20MG&#26426;&#26538;T1.jpg" TargetMode="External"/><Relationship Id="rId171" Type="http://schemas.openxmlformats.org/officeDocument/2006/relationships/image" Target="../media/image266.jpeg"/><Relationship Id="rId12" Type="http://schemas.openxmlformats.org/officeDocument/2006/relationships/image" Target="file:///D:\__Study\Projects\C%23\AzurLane\AzurLane\Pics\Equip\Antiair\12.7mm&#38450;&#31354;&#26426;&#26538;T1.jpg" TargetMode="External"/><Relationship Id="rId33" Type="http://schemas.openxmlformats.org/officeDocument/2006/relationships/image" Target="../media/image197.jpeg"/><Relationship Id="rId108" Type="http://schemas.openxmlformats.org/officeDocument/2006/relationships/image" Target="file:///D:\__Study\Projects\C%23\AzurLane\AzurLane\Pics\Equip\Antiair\&#21452;&#32852;37mm&#25163;&#25289;&#26426;&#26538;T3.jpg" TargetMode="External"/><Relationship Id="rId129" Type="http://schemas.openxmlformats.org/officeDocument/2006/relationships/image" Target="../media/image245.jpeg"/><Relationship Id="rId54" Type="http://schemas.openxmlformats.org/officeDocument/2006/relationships/image" Target="file:///D:\__Study\Projects\C%23\AzurLane\AzurLane\Pics\Equip\Antiair\37mm&#38450;&#31354;&#28846;70-KT1.jpg" TargetMode="External"/><Relationship Id="rId75" Type="http://schemas.openxmlformats.org/officeDocument/2006/relationships/image" Target="../media/image218.jpeg"/><Relationship Id="rId96" Type="http://schemas.openxmlformats.org/officeDocument/2006/relationships/image" Target="file:///D:\__Study\Projects\C%23\AzurLane\AzurLane\Pics\Equip\Antiair\&#21452;&#31649;20mm&#21380;&#21033;&#31354;&#39640;&#23556;&#28846;T3.jpg" TargetMode="External"/><Relationship Id="rId140" Type="http://schemas.openxmlformats.org/officeDocument/2006/relationships/image" Target="file:///D:\__Study\Projects\C%23\AzurLane\AzurLane\Pics\Equip\Antiair\&#21452;&#32852;&#35013;40mm&#21338;&#31119;&#26031;STAAGT0.jpg" TargetMode="External"/><Relationship Id="rId161" Type="http://schemas.openxmlformats.org/officeDocument/2006/relationships/image" Target="../media/image261.jpeg"/><Relationship Id="rId1" Type="http://schemas.openxmlformats.org/officeDocument/2006/relationships/image" Target="../media/image181.jpeg"/><Relationship Id="rId6" Type="http://schemas.openxmlformats.org/officeDocument/2006/relationships/image" Target="file:///D:\__Study\Projects\C%23\AzurLane\AzurLane\Pics\Equip\Antiair\102mm&#39640;&#23556;&#28846;T1.jpg" TargetMode="External"/><Relationship Id="rId23" Type="http://schemas.openxmlformats.org/officeDocument/2006/relationships/image" Target="../media/image192.jpeg"/><Relationship Id="rId28" Type="http://schemas.openxmlformats.org/officeDocument/2006/relationships/image" Target="file:///D:\__Study\Projects\C%23\AzurLane\AzurLane\Pics\Equip\Antiair\20mm&#21380;&#21033;&#31354;&#39640;&#23556;&#28846;T3.jpg" TargetMode="External"/><Relationship Id="rId49" Type="http://schemas.openxmlformats.org/officeDocument/2006/relationships/image" Target="../media/image205.jpeg"/><Relationship Id="rId114" Type="http://schemas.openxmlformats.org/officeDocument/2006/relationships/image" Target="file:///D:\__Study\Projects\C%23\AzurLane\AzurLane\Pics\Equip\Antiair\&#21452;&#32852;37mm&#26426;&#26538;Model1932T3.jpg" TargetMode="External"/><Relationship Id="rId119" Type="http://schemas.openxmlformats.org/officeDocument/2006/relationships/image" Target="../media/image240.jpeg"/><Relationship Id="rId44" Type="http://schemas.openxmlformats.org/officeDocument/2006/relationships/image" Target="file:///D:\__Study\Projects\C%23\AzurLane\AzurLane\Pics\Equip\Antiair\25mm&#39640;&#23556;&#26426;&#26538;T2.jpg" TargetMode="External"/><Relationship Id="rId60" Type="http://schemas.openxmlformats.org/officeDocument/2006/relationships/image" Target="file:///D:\__Study\Projects\C%23\AzurLane\AzurLane\Pics\Equip\Antiair\76mm&#39640;&#23556;&#28846;T1.jpg" TargetMode="External"/><Relationship Id="rId65" Type="http://schemas.openxmlformats.org/officeDocument/2006/relationships/image" Target="../media/image213.jpeg"/><Relationship Id="rId81" Type="http://schemas.openxmlformats.org/officeDocument/2006/relationships/image" Target="../media/image221.jpeg"/><Relationship Id="rId86" Type="http://schemas.openxmlformats.org/officeDocument/2006/relationships/image" Target="file:///D:\__Study\Projects\C%23\AzurLane\AzurLane\Pics\Equip\Antiair\&#20843;&#32852;&#35013;40mm&#8220;&#30768;&#30768;&#8221;&#28846;T2.jpg" TargetMode="External"/><Relationship Id="rId130" Type="http://schemas.openxmlformats.org/officeDocument/2006/relationships/image" Target="file:///D:\__Study\Projects\C%23\AzurLane\AzurLane\Pics\Equip\Antiair\&#21452;&#32852;&#35013;113mm&#39640;&#23556;&#28846;T3.jpg" TargetMode="External"/><Relationship Id="rId135" Type="http://schemas.openxmlformats.org/officeDocument/2006/relationships/image" Target="../media/image248.jpeg"/><Relationship Id="rId151" Type="http://schemas.openxmlformats.org/officeDocument/2006/relationships/image" Target="../media/image256.jpeg"/><Relationship Id="rId156" Type="http://schemas.openxmlformats.org/officeDocument/2006/relationships/image" Target="file:///D:\__Study\Projects\C%23\AzurLane\AzurLane\Pics\Equip\Antiair\&#22235;&#32852;&#35013;28mm&#8220;&#33437;&#21152;&#21733;&#38050;&#29748;&#8221;T1.jpg" TargetMode="External"/><Relationship Id="rId172" Type="http://schemas.openxmlformats.org/officeDocument/2006/relationships/image" Target="file:///D:\__Study\Projects\C%23\AzurLane\AzurLane\Pics\Equip\Antiair\&#27608;&#24335;40mm&#36830;&#35013;&#26426;&#26538;T3.jpg" TargetMode="External"/><Relationship Id="rId13" Type="http://schemas.openxmlformats.org/officeDocument/2006/relationships/image" Target="../media/image187.jpeg"/><Relationship Id="rId18" Type="http://schemas.openxmlformats.org/officeDocument/2006/relationships/image" Target="file:///D:\__Study\Projects\C%23\AzurLane\AzurLane\Pics\Equip\Antiair\127mm&#36830;&#35013;&#39640;&#23556;&#28846;T1.jpg" TargetMode="External"/><Relationship Id="rId39" Type="http://schemas.openxmlformats.org/officeDocument/2006/relationships/image" Target="../media/image200.jpeg"/><Relationship Id="rId109" Type="http://schemas.openxmlformats.org/officeDocument/2006/relationships/image" Target="../media/image235.jpeg"/><Relationship Id="rId34" Type="http://schemas.openxmlformats.org/officeDocument/2006/relationships/image" Target="file:///D:\__Study\Projects\C%23\AzurLane\AzurLane\Pics\Equip\Antiair\25mm&#19977;&#36830;&#35013;&#39640;&#23556;&#26426;&#26538;T3.jpg" TargetMode="External"/><Relationship Id="rId50" Type="http://schemas.openxmlformats.org/officeDocument/2006/relationships/image" Target="file:///D:\__Study\Projects\C%23\AzurLane\AzurLane\Pics\Equip\Antiair\37mm&#26426;&#26538;T2.jpg" TargetMode="External"/><Relationship Id="rId55" Type="http://schemas.openxmlformats.org/officeDocument/2006/relationships/image" Target="../media/image208.jpeg"/><Relationship Id="rId76" Type="http://schemas.openxmlformats.org/officeDocument/2006/relationships/image" Target="file:///D:\__Study\Projects\C%23\AzurLane\AzurLane\Pics\Equip\Antiair\B-34%20100mm&#21452;&#32852;&#35013;&#38450;&#31354;&#28846;MZ-14T2.jpg" TargetMode="External"/><Relationship Id="rId97" Type="http://schemas.openxmlformats.org/officeDocument/2006/relationships/image" Target="../media/image229.jpeg"/><Relationship Id="rId104" Type="http://schemas.openxmlformats.org/officeDocument/2006/relationships/image" Target="file:///D:\__Study\Projects\C%23\AzurLane\AzurLane\Pics\Equip\Antiair\&#21452;&#32852;37mm&#25163;&#25289;&#26426;&#26538;T1.jpg" TargetMode="External"/><Relationship Id="rId120" Type="http://schemas.openxmlformats.org/officeDocument/2006/relationships/image" Target="file:///D:\__Study\Projects\C%23\AzurLane\AzurLane\Pics\Equip\Antiair\&#21452;&#32852;40mm&#21338;&#31119;&#26031;&#23545;&#31354;&#26426;&#28846;T2.jpg" TargetMode="External"/><Relationship Id="rId125" Type="http://schemas.openxmlformats.org/officeDocument/2006/relationships/image" Target="../media/image243.jpeg"/><Relationship Id="rId141" Type="http://schemas.openxmlformats.org/officeDocument/2006/relationships/image" Target="../media/image251.jpeg"/><Relationship Id="rId146" Type="http://schemas.openxmlformats.org/officeDocument/2006/relationships/image" Target="file:///D:\__Study\Projects\C%23\AzurLane\AzurLane\Pics\Equip\Antiair\&#22235;&#32852;40mm&#21338;&#31119;&#26031;&#23545;&#31354;&#26426;&#28846;T2.jpg" TargetMode="External"/><Relationship Id="rId167" Type="http://schemas.openxmlformats.org/officeDocument/2006/relationships/image" Target="../media/image264.jpeg"/><Relationship Id="rId7" Type="http://schemas.openxmlformats.org/officeDocument/2006/relationships/image" Target="../media/image184.jpeg"/><Relationship Id="rId71" Type="http://schemas.openxmlformats.org/officeDocument/2006/relationships/image" Target="../media/image216.jpeg"/><Relationship Id="rId92" Type="http://schemas.openxmlformats.org/officeDocument/2006/relationships/image" Target="file:///D:\__Study\Projects\C%23\AzurLane\AzurLane\Pics\Equip\Antiair\&#21452;&#31649;20mm&#21380;&#21033;&#31354;&#39640;&#23556;&#28846;T1.jpg" TargetMode="External"/><Relationship Id="rId162" Type="http://schemas.openxmlformats.org/officeDocument/2006/relationships/image" Target="file:///D:\__Study\Projects\C%23\AzurLane\AzurLane\Pics\Equip\Antiair\&#22235;&#32852;&#35013;40mm&#8220;&#30768;&#30768;&#8221;&#28846;T1.jpg" TargetMode="External"/><Relationship Id="rId2" Type="http://schemas.openxmlformats.org/officeDocument/2006/relationships/image" Target="file:///D:\__Study\Projects\C%23\AzurLane\AzurLane\Pics\Equip\Antiair\100mm&#21452;&#32852;&#35013;&#38450;&#31354;&#28846;SM-5-1sT1.jpg" TargetMode="External"/><Relationship Id="rId29" Type="http://schemas.openxmlformats.org/officeDocument/2006/relationships/image" Target="../media/image195.jpeg"/><Relationship Id="rId24" Type="http://schemas.openxmlformats.org/officeDocument/2006/relationships/image" Target="file:///D:\__Study\Projects\C%23\AzurLane\AzurLane\Pics\Equip\Antiair\20mm&#21380;&#21033;&#31354;&#39640;&#23556;&#28846;T1.jpg" TargetMode="External"/><Relationship Id="rId40" Type="http://schemas.openxmlformats.org/officeDocument/2006/relationships/image" Target="file:///D:\__Study\Projects\C%23\AzurLane\AzurLane\Pics\Equip\Antiair\25mm&#36830;&#35013;&#39640;&#23556;&#26426;&#26538;T3.jpg" TargetMode="External"/><Relationship Id="rId45" Type="http://schemas.openxmlformats.org/officeDocument/2006/relationships/image" Target="../media/image203.jpeg"/><Relationship Id="rId66" Type="http://schemas.openxmlformats.org/officeDocument/2006/relationships/image" Target="file:///D:\__Study\Projects\C%23\AzurLane\AzurLane\Pics\Equip\Antiair\76mm&#39640;&#23556;&#28846;T3.jpg" TargetMode="External"/><Relationship Id="rId87" Type="http://schemas.openxmlformats.org/officeDocument/2006/relationships/image" Target="../media/image224.jpeg"/><Relationship Id="rId110" Type="http://schemas.openxmlformats.org/officeDocument/2006/relationships/image" Target="file:///D:\__Study\Projects\C%23\AzurLane\AzurLane\Pics\Equip\Antiair\&#21452;&#32852;37mm&#26426;&#26538;Model1932T1.jpg" TargetMode="External"/><Relationship Id="rId115" Type="http://schemas.openxmlformats.org/officeDocument/2006/relationships/image" Target="../media/image238.jpeg"/><Relationship Id="rId131" Type="http://schemas.openxmlformats.org/officeDocument/2006/relationships/image" Target="../media/image246.jpeg"/><Relationship Id="rId136" Type="http://schemas.openxmlformats.org/officeDocument/2006/relationships/image" Target="file:///D:\__Study\Projects\C%23\AzurLane\AzurLane\Pics\Equip\Antiair\&#21452;&#32852;&#35013;40mm&#8220;&#30768;&#30768;&#8221;&#28846;T2.jpg" TargetMode="External"/><Relationship Id="rId157" Type="http://schemas.openxmlformats.org/officeDocument/2006/relationships/image" Target="../media/image259.jpeg"/><Relationship Id="rId61" Type="http://schemas.openxmlformats.org/officeDocument/2006/relationships/image" Target="../media/image211.jpeg"/><Relationship Id="rId82" Type="http://schemas.openxmlformats.org/officeDocument/2006/relationships/image" Target="file:///D:\__Study\Projects\C%23\AzurLane\AzurLane\Pics\Equip\Antiair\B-54%20100mm&#21452;&#32852;&#35013;&#38450;&#31354;&#28846;T3.jpg" TargetMode="External"/><Relationship Id="rId152" Type="http://schemas.openxmlformats.org/officeDocument/2006/relationships/image" Target="file:///D:\__Study\Projects\C%23\AzurLane\AzurLane\Pics\Equip\Antiair\&#22235;&#32852;&#35013;20mm%20MG&#26426;&#26538;T2.jpg" TargetMode="External"/><Relationship Id="rId173" Type="http://schemas.openxmlformats.org/officeDocument/2006/relationships/image" Target="../media/image267.jpeg"/><Relationship Id="rId19" Type="http://schemas.openxmlformats.org/officeDocument/2006/relationships/image" Target="../media/image190.jpeg"/><Relationship Id="rId14" Type="http://schemas.openxmlformats.org/officeDocument/2006/relationships/image" Target="file:///D:\__Study\Projects\C%23\AzurLane\AzurLane\Pics\Equip\Antiair\12.7mm&#38450;&#31354;&#26426;&#26538;T2.jpg" TargetMode="External"/><Relationship Id="rId30" Type="http://schemas.openxmlformats.org/officeDocument/2006/relationships/image" Target="file:///D:\__Study\Projects\C%23\AzurLane\AzurLane\Pics\Equip\Antiair\25mm&#19977;&#36830;&#35013;&#39640;&#23556;&#26426;&#26538;T1.jpg" TargetMode="External"/><Relationship Id="rId35" Type="http://schemas.openxmlformats.org/officeDocument/2006/relationships/image" Target="../media/image198.jpeg"/><Relationship Id="rId56" Type="http://schemas.openxmlformats.org/officeDocument/2006/relationships/image" Target="file:///D:\__Study\Projects\C%23\AzurLane\AzurLane\Pics\Equip\Antiair\37mm&#38450;&#31354;&#28846;70-KT2.jpg" TargetMode="External"/><Relationship Id="rId77" Type="http://schemas.openxmlformats.org/officeDocument/2006/relationships/image" Target="../media/image219.jpeg"/><Relationship Id="rId100" Type="http://schemas.openxmlformats.org/officeDocument/2006/relationships/image" Target="file:///D:\__Study\Projects\C%23\AzurLane\AzurLane\Pics\Equip\Antiair\&#21452;&#32852;105mmSKC&#39640;&#28846;T2.jpg" TargetMode="External"/><Relationship Id="rId105" Type="http://schemas.openxmlformats.org/officeDocument/2006/relationships/image" Target="../media/image233.jpeg"/><Relationship Id="rId126" Type="http://schemas.openxmlformats.org/officeDocument/2006/relationships/image" Target="file:///D:\__Study\Projects\C%23\AzurLane\AzurLane\Pics\Equip\Antiair\&#21452;&#32852;&#35013;113mm&#39640;&#23556;&#28846;T1.jpg" TargetMode="External"/><Relationship Id="rId147" Type="http://schemas.openxmlformats.org/officeDocument/2006/relationships/image" Target="../media/image254.jpeg"/><Relationship Id="rId168" Type="http://schemas.openxmlformats.org/officeDocument/2006/relationships/image" Target="file:///D:\__Study\Projects\C%23\AzurLane\AzurLane\Pics\Equip\Antiair\&#27608;&#24335;40mm&#36830;&#35013;&#26426;&#26538;T1.jpg" TargetMode="External"/><Relationship Id="rId8" Type="http://schemas.openxmlformats.org/officeDocument/2006/relationships/image" Target="file:///D:\__Study\Projects\C%23\AzurLane\AzurLane\Pics\Equip\Antiair\102mm&#39640;&#23556;&#28846;T2.jpg" TargetMode="External"/><Relationship Id="rId51" Type="http://schemas.openxmlformats.org/officeDocument/2006/relationships/image" Target="../media/image206.jpeg"/><Relationship Id="rId72" Type="http://schemas.openxmlformats.org/officeDocument/2006/relationships/image" Target="file:///D:\__Study\Projects\C%23\AzurLane\AzurLane\Pics\Equip\Antiair\90mm&#21333;&#35013;&#39640;&#35282;&#28846;Model1939T3.jpg" TargetMode="External"/><Relationship Id="rId93" Type="http://schemas.openxmlformats.org/officeDocument/2006/relationships/image" Target="../media/image227.jpeg"/><Relationship Id="rId98" Type="http://schemas.openxmlformats.org/officeDocument/2006/relationships/image" Target="file:///D:\__Study\Projects\C%23\AzurLane\AzurLane\Pics\Equip\Antiair\&#21452;&#32852;105mmSKC&#39640;&#28846;T1.jpg" TargetMode="External"/><Relationship Id="rId121" Type="http://schemas.openxmlformats.org/officeDocument/2006/relationships/image" Target="../media/image241.jpeg"/><Relationship Id="rId142" Type="http://schemas.openxmlformats.org/officeDocument/2006/relationships/image" Target="file:///D:\__Study\Projects\C%23\AzurLane\AzurLane\Pics\Equip\Antiair\&#21452;&#32852;&#35013;40mm&#21338;&#31119;&#26031;&#28023;&#20857;&#26757;&#32822;T0.jpg" TargetMode="External"/><Relationship Id="rId163" Type="http://schemas.openxmlformats.org/officeDocument/2006/relationships/image" Target="../media/image262.jpeg"/><Relationship Id="rId3" Type="http://schemas.openxmlformats.org/officeDocument/2006/relationships/image" Target="../media/image182.jpeg"/><Relationship Id="rId25" Type="http://schemas.openxmlformats.org/officeDocument/2006/relationships/image" Target="../media/image193.jpeg"/><Relationship Id="rId46" Type="http://schemas.openxmlformats.org/officeDocument/2006/relationships/image" Target="file:///D:\__Study\Projects\C%23\AzurLane\AzurLane\Pics\Equip\Antiair\25mm&#39640;&#23556;&#26426;&#26538;T3.jpg" TargetMode="External"/><Relationship Id="rId67" Type="http://schemas.openxmlformats.org/officeDocument/2006/relationships/image" Target="../media/image214.jpeg"/><Relationship Id="rId116" Type="http://schemas.openxmlformats.org/officeDocument/2006/relationships/image" Target="file:///D:\__Study\Projects\C%23\AzurLane\AzurLane\Pics\Equip\Antiair\&#21452;&#32852;37mm&#39640;&#23556;&#28846;Mle1936T0.jpg" TargetMode="External"/><Relationship Id="rId137" Type="http://schemas.openxmlformats.org/officeDocument/2006/relationships/image" Target="../media/image249.jpeg"/><Relationship Id="rId158" Type="http://schemas.openxmlformats.org/officeDocument/2006/relationships/image" Target="file:///D:\__Study\Projects\C%23\AzurLane\AzurLane\Pics\Equip\Antiair\&#22235;&#32852;&#35013;28mm&#8220;&#33437;&#21152;&#21733;&#38050;&#29748;&#8221;T2.jpg" TargetMode="External"/><Relationship Id="rId20" Type="http://schemas.openxmlformats.org/officeDocument/2006/relationships/image" Target="file:///D:\__Study\Projects\C%23\AzurLane\AzurLane\Pics\Equip\Antiair\127mm&#36830;&#35013;&#39640;&#23556;&#28846;T2.jpg" TargetMode="External"/><Relationship Id="rId41" Type="http://schemas.openxmlformats.org/officeDocument/2006/relationships/image" Target="../media/image201.jpeg"/><Relationship Id="rId62" Type="http://schemas.openxmlformats.org/officeDocument/2006/relationships/image" Target="file:///D:\__Study\Projects\C%23\AzurLane\AzurLane\Pics\Equip\Antiair\76mm&#39640;&#23556;&#28846;T1&#65288;&#37325;&#27185;&#65289;.jpg" TargetMode="External"/><Relationship Id="rId83" Type="http://schemas.openxmlformats.org/officeDocument/2006/relationships/image" Target="../media/image222.jpeg"/><Relationship Id="rId88" Type="http://schemas.openxmlformats.org/officeDocument/2006/relationships/image" Target="file:///D:\__Study\Projects\C%23\AzurLane\AzurLane\Pics\Equip\Antiair\&#20843;&#32852;&#35013;40mm&#8220;&#30768;&#30768;&#8221;&#28846;T3.jpg" TargetMode="External"/><Relationship Id="rId111" Type="http://schemas.openxmlformats.org/officeDocument/2006/relationships/image" Target="../media/image236.jpeg"/><Relationship Id="rId132" Type="http://schemas.openxmlformats.org/officeDocument/2006/relationships/image" Target="file:///D:\__Study\Projects\C%23\AzurLane\AzurLane\Pics\Equip\Antiair\&#21452;&#32852;&#35013;134mm&#39640;&#28846;T0.jpg" TargetMode="External"/><Relationship Id="rId153" Type="http://schemas.openxmlformats.org/officeDocument/2006/relationships/image" Target="../media/image257.jpeg"/><Relationship Id="rId174" Type="http://schemas.openxmlformats.org/officeDocument/2006/relationships/image" Target="file:///D:\__Study\Projects\C%23\AzurLane\AzurLane\Pics\Equip\Antiair\&#35797;&#20316;&#22411;&#20116;&#24335;40mm&#39640;&#23556;&#26426;&#20851;&#28846;T0.jpg" TargetMode="External"/><Relationship Id="rId15" Type="http://schemas.openxmlformats.org/officeDocument/2006/relationships/image" Target="../media/image188.jpeg"/><Relationship Id="rId36" Type="http://schemas.openxmlformats.org/officeDocument/2006/relationships/image" Target="file:///D:\__Study\Projects\C%23\AzurLane\AzurLane\Pics\Equip\Antiair\25mm&#36830;&#35013;&#39640;&#23556;&#26426;&#26538;T1.jpg" TargetMode="External"/><Relationship Id="rId57" Type="http://schemas.openxmlformats.org/officeDocument/2006/relationships/image" Target="../media/image209.jpeg"/><Relationship Id="rId106" Type="http://schemas.openxmlformats.org/officeDocument/2006/relationships/image" Target="file:///D:\__Study\Projects\C%23\AzurLane\AzurLane\Pics\Equip\Antiair\&#21452;&#32852;37mm&#25163;&#25289;&#26426;&#26538;T2.jpg" TargetMode="External"/><Relationship Id="rId127" Type="http://schemas.openxmlformats.org/officeDocument/2006/relationships/image" Target="../media/image244.jpeg"/><Relationship Id="rId10" Type="http://schemas.openxmlformats.org/officeDocument/2006/relationships/image" Target="file:///D:\__Study\Projects\C%23\AzurLane\AzurLane\Pics\Equip\Antiair\102mm&#39640;&#23556;&#28846;T3.jpg" TargetMode="External"/><Relationship Id="rId31" Type="http://schemas.openxmlformats.org/officeDocument/2006/relationships/image" Target="../media/image196.jpeg"/><Relationship Id="rId52" Type="http://schemas.openxmlformats.org/officeDocument/2006/relationships/image" Target="file:///D:\__Study\Projects\C%23\AzurLane\AzurLane\Pics\Equip\Antiair\37mm&#26426;&#26538;T3.jpg" TargetMode="External"/><Relationship Id="rId73" Type="http://schemas.openxmlformats.org/officeDocument/2006/relationships/image" Target="../media/image217.jpeg"/><Relationship Id="rId78" Type="http://schemas.openxmlformats.org/officeDocument/2006/relationships/image" Target="file:///D:\__Study\Projects\C%23\AzurLane\AzurLane\Pics\Equip\Antiair\B-34%20100mm&#21452;&#32852;&#35013;&#38450;&#31354;&#28846;MZ-14T3.jpg" TargetMode="External"/><Relationship Id="rId94" Type="http://schemas.openxmlformats.org/officeDocument/2006/relationships/image" Target="file:///D:\__Study\Projects\C%23\AzurLane\AzurLane\Pics\Equip\Antiair\&#21452;&#31649;20mm&#21380;&#21033;&#31354;&#39640;&#23556;&#28846;T2.jpg" TargetMode="External"/><Relationship Id="rId99" Type="http://schemas.openxmlformats.org/officeDocument/2006/relationships/image" Target="../media/image230.jpeg"/><Relationship Id="rId101" Type="http://schemas.openxmlformats.org/officeDocument/2006/relationships/image" Target="../media/image231.jpeg"/><Relationship Id="rId122" Type="http://schemas.openxmlformats.org/officeDocument/2006/relationships/image" Target="file:///D:\__Study\Projects\C%23\AzurLane\AzurLane\Pics\Equip\Antiair\&#21452;&#32852;40mm&#21338;&#31119;&#26031;&#23545;&#31354;&#26426;&#28846;T3.jpg" TargetMode="External"/><Relationship Id="rId143" Type="http://schemas.openxmlformats.org/officeDocument/2006/relationships/image" Target="../media/image252.jpeg"/><Relationship Id="rId148" Type="http://schemas.openxmlformats.org/officeDocument/2006/relationships/image" Target="file:///D:\__Study\Projects\C%23\AzurLane\AzurLane\Pics\Equip\Antiair\&#22235;&#32852;40mm&#21338;&#31119;&#26031;&#23545;&#31354;&#26426;&#28846;T3.jpg" TargetMode="External"/><Relationship Id="rId164" Type="http://schemas.openxmlformats.org/officeDocument/2006/relationships/image" Target="file:///D:\__Study\Projects\C%23\AzurLane\AzurLane\Pics\Equip\Antiair\&#22235;&#32852;&#35013;40mm&#8220;&#30768;&#30768;&#8221;&#28846;T2.jpg" TargetMode="External"/><Relationship Id="rId169" Type="http://schemas.openxmlformats.org/officeDocument/2006/relationships/image" Target="../media/image265.jpeg"/><Relationship Id="rId4" Type="http://schemas.openxmlformats.org/officeDocument/2006/relationships/image" Target="file:///D:\__Study\Projects\C%23\AzurLane\AzurLane\Pics\Equip\Antiair\100mm&#36830;&#35013;&#39640;&#28846;T0.jpg" TargetMode="External"/><Relationship Id="rId9" Type="http://schemas.openxmlformats.org/officeDocument/2006/relationships/image" Target="../media/image185.jpeg"/><Relationship Id="rId26" Type="http://schemas.openxmlformats.org/officeDocument/2006/relationships/image" Target="file:///D:\__Study\Projects\C%23\AzurLane\AzurLane\Pics\Equip\Antiair\20mm&#21380;&#21033;&#31354;&#39640;&#23556;&#28846;T2.jpg" TargetMode="External"/><Relationship Id="rId47" Type="http://schemas.openxmlformats.org/officeDocument/2006/relationships/image" Target="../media/image204.jpeg"/><Relationship Id="rId68" Type="http://schemas.openxmlformats.org/officeDocument/2006/relationships/image" Target="file:///D:\__Study\Projects\C%23\AzurLane\AzurLane\Pics\Equip\Antiair\90mm&#21333;&#35013;&#39640;&#35282;&#28846;Model1939T1.jpg" TargetMode="External"/><Relationship Id="rId89" Type="http://schemas.openxmlformats.org/officeDocument/2006/relationships/image" Target="../media/image225.jpeg"/><Relationship Id="rId112" Type="http://schemas.openxmlformats.org/officeDocument/2006/relationships/image" Target="file:///D:\__Study\Projects\C%23\AzurLane\AzurLane\Pics\Equip\Antiair\&#21452;&#32852;37mm&#26426;&#26538;Model1932T2.jpg" TargetMode="External"/><Relationship Id="rId133" Type="http://schemas.openxmlformats.org/officeDocument/2006/relationships/image" Target="../media/image247.jpeg"/><Relationship Id="rId154" Type="http://schemas.openxmlformats.org/officeDocument/2006/relationships/image" Target="file:///D:\__Study\Projects\C%23\AzurLane\AzurLane\Pics\Equip\Antiair\&#22235;&#32852;&#35013;20mm%20MG&#26426;&#26538;T3.jpg" TargetMode="External"/><Relationship Id="rId16" Type="http://schemas.openxmlformats.org/officeDocument/2006/relationships/image" Target="file:///D:\__Study\Projects\C%23\AzurLane\AzurLane\Pics\Equip\Antiair\12.7mm&#38450;&#31354;&#26426;&#26538;T3.jpg" TargetMode="External"/><Relationship Id="rId37" Type="http://schemas.openxmlformats.org/officeDocument/2006/relationships/image" Target="../media/image199.jpeg"/><Relationship Id="rId58" Type="http://schemas.openxmlformats.org/officeDocument/2006/relationships/image" Target="file:///D:\__Study\Projects\C%23\AzurLane\AzurLane\Pics\Equip\Antiair\37mm&#38450;&#31354;&#28846;70-KT3.jpg" TargetMode="External"/><Relationship Id="rId79" Type="http://schemas.openxmlformats.org/officeDocument/2006/relationships/image" Target="../media/image220.jpeg"/><Relationship Id="rId102" Type="http://schemas.openxmlformats.org/officeDocument/2006/relationships/image" Target="file:///D:\__Study\Projects\C%23\AzurLane\AzurLane\Pics\Equip\Antiair\&#21452;&#32852;105mmSKC&#39640;&#28846;T3.jpg" TargetMode="External"/><Relationship Id="rId123" Type="http://schemas.openxmlformats.org/officeDocument/2006/relationships/image" Target="../media/image242.jpeg"/><Relationship Id="rId144" Type="http://schemas.openxmlformats.org/officeDocument/2006/relationships/image" Target="file:///D:\__Study\Projects\C%23\AzurLane\AzurLane\Pics\Equip\Antiair\&#22235;&#32852;40mm&#21338;&#31119;&#26031;&#23545;&#31354;&#26426;&#28846;T1.jpg" TargetMode="External"/><Relationship Id="rId90" Type="http://schemas.openxmlformats.org/officeDocument/2006/relationships/image" Target="file:///D:\__Study\Projects\C%23\AzurLane\AzurLane\Pics\Equip\Antiair\&#20845;&#32852;&#35013;40mm&#21338;&#31119;&#26031;&#23545;&#31354;&#26426;&#28846;T0.jpg" TargetMode="External"/><Relationship Id="rId165" Type="http://schemas.openxmlformats.org/officeDocument/2006/relationships/image" Target="../media/image263.jpeg"/><Relationship Id="rId27" Type="http://schemas.openxmlformats.org/officeDocument/2006/relationships/image" Target="../media/image194.jpeg"/><Relationship Id="rId48" Type="http://schemas.openxmlformats.org/officeDocument/2006/relationships/image" Target="file:///D:\__Study\Projects\C%23\AzurLane\AzurLane\Pics\Equip\Antiair\37mm&#26426;&#26538;T1.jpg" TargetMode="External"/><Relationship Id="rId69" Type="http://schemas.openxmlformats.org/officeDocument/2006/relationships/image" Target="../media/image215.jpeg"/><Relationship Id="rId113" Type="http://schemas.openxmlformats.org/officeDocument/2006/relationships/image" Target="../media/image237.jpeg"/><Relationship Id="rId134" Type="http://schemas.openxmlformats.org/officeDocument/2006/relationships/image" Target="file:///D:\__Study\Projects\C%23\AzurLane\AzurLane\Pics\Equip\Antiair\&#21452;&#32852;&#35013;40mm&#8220;&#30768;&#30768;&#8221;&#28846;T1.jpg" TargetMode="External"/><Relationship Id="rId80" Type="http://schemas.openxmlformats.org/officeDocument/2006/relationships/image" Target="file:///D:\__Study\Projects\C%23\AzurLane\AzurLane\Pics\Equip\Antiair\B-54%20100mm&#21452;&#32852;&#35013;&#38450;&#31354;&#28846;T2.jpg" TargetMode="External"/><Relationship Id="rId155" Type="http://schemas.openxmlformats.org/officeDocument/2006/relationships/image" Target="../media/image258.jpeg"/><Relationship Id="rId17" Type="http://schemas.openxmlformats.org/officeDocument/2006/relationships/image" Target="../media/image189.jpeg"/><Relationship Id="rId38" Type="http://schemas.openxmlformats.org/officeDocument/2006/relationships/image" Target="file:///D:\__Study\Projects\C%23\AzurLane\AzurLane\Pics\Equip\Antiair\25mm&#36830;&#35013;&#39640;&#23556;&#26426;&#26538;T2.jpg" TargetMode="External"/><Relationship Id="rId59" Type="http://schemas.openxmlformats.org/officeDocument/2006/relationships/image" Target="../media/image210.jpeg"/><Relationship Id="rId103" Type="http://schemas.openxmlformats.org/officeDocument/2006/relationships/image" Target="../media/image232.jpeg"/><Relationship Id="rId124" Type="http://schemas.openxmlformats.org/officeDocument/2006/relationships/image" Target="file:///D:\__Study\Projects\C%23\AzurLane\AzurLane\Pics\Equip\Antiair\&#21452;&#32852;&#35013;100mm&#39640;&#28846;T3.jpg" TargetMode="External"/><Relationship Id="rId70" Type="http://schemas.openxmlformats.org/officeDocument/2006/relationships/image" Target="file:///D:\__Study\Projects\C%23\AzurLane\AzurLane\Pics\Equip\Antiair\90mm&#21333;&#35013;&#39640;&#35282;&#28846;Model1939T2.jpg" TargetMode="External"/><Relationship Id="rId91" Type="http://schemas.openxmlformats.org/officeDocument/2006/relationships/image" Target="../media/image226.jpeg"/><Relationship Id="rId145" Type="http://schemas.openxmlformats.org/officeDocument/2006/relationships/image" Target="../media/image253.jpeg"/><Relationship Id="rId166" Type="http://schemas.openxmlformats.org/officeDocument/2006/relationships/image" Target="file:///D:\__Study\Projects\C%23\AzurLane\AzurLane\Pics\Equip\Antiair\&#22235;&#32852;&#35013;40mm&#8220;&#30768;&#30768;&#8221;&#28846;T3.jpg" TargetMode="External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file:///D:\__Study\Projects\C%23\AzurLane\AzurLane\Pics\Equip\Torpedo\&#20116;&#32852;&#35013;533mm&#30913;&#24615;&#40060;&#38647;T2.jpg" TargetMode="External"/><Relationship Id="rId21" Type="http://schemas.openxmlformats.org/officeDocument/2006/relationships/image" Target="../media/image278.jpeg"/><Relationship Id="rId42" Type="http://schemas.openxmlformats.org/officeDocument/2006/relationships/image" Target="file:///D:\__Study\Projects\C%23\AzurLane\AzurLane\Pics\Equip\Torpedo\&#21452;&#32852;&#35013;610mm&#40060;&#38647;T2.jpg" TargetMode="External"/><Relationship Id="rId47" Type="http://schemas.openxmlformats.org/officeDocument/2006/relationships/image" Target="../media/image291.jpeg"/><Relationship Id="rId63" Type="http://schemas.openxmlformats.org/officeDocument/2006/relationships/image" Target="../media/image299.jpeg"/><Relationship Id="rId68" Type="http://schemas.openxmlformats.org/officeDocument/2006/relationships/image" Target="file:///D:\__Study\Projects\C%23\AzurLane\AzurLane\Pics\Equip\Torpedo\&#28508;&#33351;&#29992;550mm24V&#40060;&#38647;T3.jpg" TargetMode="External"/><Relationship Id="rId84" Type="http://schemas.openxmlformats.org/officeDocument/2006/relationships/image" Target="file:///D:\__Study\Projects\C%23\AzurLane\AzurLane\Pics\Equip\Torpedo\&#28508;&#33351;&#29992;G7a&#40060;&#38647;T2.jpg" TargetMode="External"/><Relationship Id="rId89" Type="http://schemas.openxmlformats.org/officeDocument/2006/relationships/image" Target="../media/image312.jpeg"/><Relationship Id="rId16" Type="http://schemas.openxmlformats.org/officeDocument/2006/relationships/image" Target="file:///D:\__Study\Projects\C%23\AzurLane\AzurLane\Pics\Equip\Torpedo\&#19977;&#32852;&#35013;550mm&#40060;&#38647;T3.jpg" TargetMode="External"/><Relationship Id="rId11" Type="http://schemas.openxmlformats.org/officeDocument/2006/relationships/image" Target="../media/image273.jpeg"/><Relationship Id="rId32" Type="http://schemas.openxmlformats.org/officeDocument/2006/relationships/image" Target="file:///D:\__Study\Projects\C%23\AzurLane\AzurLane\Pics\Equip\Torpedo\&#20116;&#32852;&#35013;533mm&#40060;&#38647;T2.jpg" TargetMode="External"/><Relationship Id="rId37" Type="http://schemas.openxmlformats.org/officeDocument/2006/relationships/image" Target="../media/image286.jpeg"/><Relationship Id="rId53" Type="http://schemas.openxmlformats.org/officeDocument/2006/relationships/image" Target="../media/image294.jpeg"/><Relationship Id="rId58" Type="http://schemas.openxmlformats.org/officeDocument/2006/relationships/image" Target="file:///D:\__Study\Projects\C%23\AzurLane\AzurLane\Pics\Equip\Torpedo\&#22235;&#32852;&#35013;610mm&#40060;&#38647;T1.jpg" TargetMode="External"/><Relationship Id="rId74" Type="http://schemas.openxmlformats.org/officeDocument/2006/relationships/image" Target="file:///D:\__Study\Projects\C%23\AzurLane\AzurLane\Pics\Equip\Torpedo\&#28508;&#33351;&#29992;92&#24335;&#28508;&#23556;&#40060;&#38647;T3.jpg" TargetMode="External"/><Relationship Id="rId79" Type="http://schemas.openxmlformats.org/officeDocument/2006/relationships/image" Target="../media/image307.jpeg"/><Relationship Id="rId102" Type="http://schemas.openxmlformats.org/officeDocument/2006/relationships/image" Target="file:///D:\__Study\Projects\C%23\AzurLane\AzurLane\Pics\Equip\Torpedo\&#28508;&#33351;&#29992;Mark16&#40060;&#38647;T2.jpg" TargetMode="External"/><Relationship Id="rId5" Type="http://schemas.openxmlformats.org/officeDocument/2006/relationships/image" Target="../media/image270.jpeg"/><Relationship Id="rId90" Type="http://schemas.openxmlformats.org/officeDocument/2006/relationships/image" Target="file:///D:\__Study\Projects\C%23\AzurLane\AzurLane\Pics\Equip\Torpedo\&#28508;&#33351;&#29992;G7e&#22768;&#23548;&#40060;&#38647;T2.jpg" TargetMode="External"/><Relationship Id="rId95" Type="http://schemas.openxmlformats.org/officeDocument/2006/relationships/image" Target="../media/image315.jpeg"/><Relationship Id="rId22" Type="http://schemas.openxmlformats.org/officeDocument/2006/relationships/image" Target="file:///D:\__Study\Projects\C%23\AzurLane\AzurLane\Pics\Equip\Torpedo\&#19977;&#32852;&#35013;610mm&#40060;&#38647;T3.jpg" TargetMode="External"/><Relationship Id="rId27" Type="http://schemas.openxmlformats.org/officeDocument/2006/relationships/image" Target="../media/image281.jpeg"/><Relationship Id="rId43" Type="http://schemas.openxmlformats.org/officeDocument/2006/relationships/image" Target="../media/image289.jpeg"/><Relationship Id="rId48" Type="http://schemas.openxmlformats.org/officeDocument/2006/relationships/image" Target="file:///D:\__Study\Projects\C%23\AzurLane\AzurLane\Pics\Equip\Torpedo\&#22235;&#32852;&#35013;533mm&#30913;&#24615;&#40060;&#38647;T2.jpg" TargetMode="External"/><Relationship Id="rId64" Type="http://schemas.openxmlformats.org/officeDocument/2006/relationships/image" Target="file:///D:\__Study\Projects\C%23\AzurLane\AzurLane\Pics\Equip\Torpedo\&#28508;&#33351;&#29992;550mm24V&#40060;&#38647;T1.jpg" TargetMode="External"/><Relationship Id="rId69" Type="http://schemas.openxmlformats.org/officeDocument/2006/relationships/image" Target="../media/image302.jpeg"/><Relationship Id="rId80" Type="http://schemas.openxmlformats.org/officeDocument/2006/relationships/image" Target="file:///D:\__Study\Projects\C%23\AzurLane\AzurLane\Pics\Equip\Torpedo\&#28508;&#33351;&#29992;95&#24335;&#32431;&#27687;&#40060;&#38647;T3.jpg" TargetMode="External"/><Relationship Id="rId85" Type="http://schemas.openxmlformats.org/officeDocument/2006/relationships/image" Target="../media/image310.jpeg"/><Relationship Id="rId12" Type="http://schemas.openxmlformats.org/officeDocument/2006/relationships/image" Target="file:///D:\__Study\Projects\C%23\AzurLane\AzurLane\Pics\Equip\Torpedo\&#19977;&#32852;&#35013;533mm&#40060;&#38647;T3.jpg" TargetMode="External"/><Relationship Id="rId17" Type="http://schemas.openxmlformats.org/officeDocument/2006/relationships/image" Target="../media/image276.jpeg"/><Relationship Id="rId25" Type="http://schemas.openxmlformats.org/officeDocument/2006/relationships/image" Target="../media/image280.jpeg"/><Relationship Id="rId33" Type="http://schemas.openxmlformats.org/officeDocument/2006/relationships/image" Target="../media/image284.jpeg"/><Relationship Id="rId38" Type="http://schemas.openxmlformats.org/officeDocument/2006/relationships/image" Target="file:///D:\__Study\Projects\C%23\AzurLane\AzurLane\Pics\Equip\Torpedo\&#21452;&#32852;&#35013;550mm&#40060;&#38647;T3.jpg" TargetMode="External"/><Relationship Id="rId46" Type="http://schemas.openxmlformats.org/officeDocument/2006/relationships/image" Target="file:///D:\__Study\Projects\C%23\AzurLane\AzurLane\Pics\Equip\Torpedo\&#22235;&#32852;&#35013;533mm&#30913;&#24615;&#40060;&#38647;T1.jpg" TargetMode="External"/><Relationship Id="rId59" Type="http://schemas.openxmlformats.org/officeDocument/2006/relationships/image" Target="../media/image297.jpeg"/><Relationship Id="rId67" Type="http://schemas.openxmlformats.org/officeDocument/2006/relationships/image" Target="../media/image301.jpeg"/><Relationship Id="rId103" Type="http://schemas.openxmlformats.org/officeDocument/2006/relationships/image" Target="../media/image319.jpeg"/><Relationship Id="rId20" Type="http://schemas.openxmlformats.org/officeDocument/2006/relationships/image" Target="file:///D:\__Study\Projects\C%23\AzurLane\AzurLane\Pics\Equip\Torpedo\&#19977;&#32852;&#35013;610mm&#40060;&#38647;T2.jpg" TargetMode="External"/><Relationship Id="rId41" Type="http://schemas.openxmlformats.org/officeDocument/2006/relationships/image" Target="../media/image288.jpeg"/><Relationship Id="rId54" Type="http://schemas.openxmlformats.org/officeDocument/2006/relationships/image" Target="file:///D:\__Study\Projects\C%23\AzurLane\AzurLane\Pics\Equip\Torpedo\&#22235;&#32852;&#35013;533mm&#40060;&#38647;T2.jpg" TargetMode="External"/><Relationship Id="rId62" Type="http://schemas.openxmlformats.org/officeDocument/2006/relationships/image" Target="file:///D:\__Study\Projects\C%23\AzurLane\AzurLane\Pics\Equip\Torpedo\&#22235;&#32852;&#35013;610mm&#40060;&#38647;T3.jpg" TargetMode="External"/><Relationship Id="rId70" Type="http://schemas.openxmlformats.org/officeDocument/2006/relationships/image" Target="file:///D:\__Study\Projects\C%23\AzurLane\AzurLane\Pics\Equip\Torpedo\&#28508;&#33351;&#29992;92&#24335;&#28508;&#23556;&#40060;&#38647;T1.jpg" TargetMode="External"/><Relationship Id="rId75" Type="http://schemas.openxmlformats.org/officeDocument/2006/relationships/image" Target="../media/image305.jpeg"/><Relationship Id="rId83" Type="http://schemas.openxmlformats.org/officeDocument/2006/relationships/image" Target="../media/image309.jpeg"/><Relationship Id="rId88" Type="http://schemas.openxmlformats.org/officeDocument/2006/relationships/image" Target="file:///D:\__Study\Projects\C%23\AzurLane\AzurLane\Pics\Equip\Torpedo\&#28508;&#33351;&#29992;G7e&#22768;&#23548;&#40060;&#38647;T1.jpg" TargetMode="External"/><Relationship Id="rId91" Type="http://schemas.openxmlformats.org/officeDocument/2006/relationships/image" Target="../media/image313.jpeg"/><Relationship Id="rId96" Type="http://schemas.openxmlformats.org/officeDocument/2006/relationships/image" Target="file:///D:\__Study\Projects\C%23\AzurLane\AzurLane\Pics\Equip\Torpedo\&#28508;&#33351;&#29992;Mark14&#40060;&#38647;T2.jpg" TargetMode="External"/><Relationship Id="rId1" Type="http://schemas.openxmlformats.org/officeDocument/2006/relationships/image" Target="../media/image268.jpeg"/><Relationship Id="rId6" Type="http://schemas.openxmlformats.org/officeDocument/2006/relationships/image" Target="file:///D:\__Study\Projects\C%23\AzurLane\AzurLane\Pics\Equip\Torpedo\&#19977;&#32852;&#35013;533mm&#30913;&#24615;&#40060;&#38647;T3.jpg" TargetMode="External"/><Relationship Id="rId15" Type="http://schemas.openxmlformats.org/officeDocument/2006/relationships/image" Target="../media/image275.jpeg"/><Relationship Id="rId23" Type="http://schemas.openxmlformats.org/officeDocument/2006/relationships/image" Target="../media/image279.jpeg"/><Relationship Id="rId28" Type="http://schemas.openxmlformats.org/officeDocument/2006/relationships/image" Target="file:///D:\__Study\Projects\C%23\AzurLane\AzurLane\Pics\Equip\Torpedo\&#20116;&#32852;&#35013;533mm&#30913;&#24615;&#40060;&#38647;T3.jpg" TargetMode="External"/><Relationship Id="rId36" Type="http://schemas.openxmlformats.org/officeDocument/2006/relationships/image" Target="file:///D:\__Study\Projects\C%23\AzurLane\AzurLane\Pics\Equip\Torpedo\&#21452;&#32852;&#35013;550mm&#40060;&#38647;T1.jpg" TargetMode="External"/><Relationship Id="rId49" Type="http://schemas.openxmlformats.org/officeDocument/2006/relationships/image" Target="../media/image292.jpeg"/><Relationship Id="rId57" Type="http://schemas.openxmlformats.org/officeDocument/2006/relationships/image" Target="../media/image296.jpeg"/><Relationship Id="rId10" Type="http://schemas.openxmlformats.org/officeDocument/2006/relationships/image" Target="file:///D:\__Study\Projects\C%23\AzurLane\AzurLane\Pics\Equip\Torpedo\&#19977;&#32852;&#35013;533mm&#40060;&#38647;T2.jpg" TargetMode="External"/><Relationship Id="rId31" Type="http://schemas.openxmlformats.org/officeDocument/2006/relationships/image" Target="../media/image283.jpeg"/><Relationship Id="rId44" Type="http://schemas.openxmlformats.org/officeDocument/2006/relationships/image" Target="file:///D:\__Study\Projects\C%23\AzurLane\AzurLane\Pics\Equip\Torpedo\&#21452;&#32852;&#35013;610mm&#40060;&#38647;T3.jpg" TargetMode="External"/><Relationship Id="rId52" Type="http://schemas.openxmlformats.org/officeDocument/2006/relationships/image" Target="file:///D:\__Study\Projects\C%23\AzurLane\AzurLane\Pics\Equip\Torpedo\&#22235;&#32852;&#35013;533mm&#40060;&#38647;T1.jpg" TargetMode="External"/><Relationship Id="rId60" Type="http://schemas.openxmlformats.org/officeDocument/2006/relationships/image" Target="file:///D:\__Study\Projects\C%23\AzurLane\AzurLane\Pics\Equip\Torpedo\&#22235;&#32852;&#35013;610mm&#40060;&#38647;T2.jpg" TargetMode="External"/><Relationship Id="rId65" Type="http://schemas.openxmlformats.org/officeDocument/2006/relationships/image" Target="../media/image300.jpeg"/><Relationship Id="rId73" Type="http://schemas.openxmlformats.org/officeDocument/2006/relationships/image" Target="../media/image304.jpeg"/><Relationship Id="rId78" Type="http://schemas.openxmlformats.org/officeDocument/2006/relationships/image" Target="file:///D:\__Study\Projects\C%23\AzurLane\AzurLane\Pics\Equip\Torpedo\&#28508;&#33351;&#29992;95&#24335;&#32431;&#27687;&#40060;&#38647;T2.jpg" TargetMode="External"/><Relationship Id="rId81" Type="http://schemas.openxmlformats.org/officeDocument/2006/relationships/image" Target="../media/image308.jpeg"/><Relationship Id="rId86" Type="http://schemas.openxmlformats.org/officeDocument/2006/relationships/image" Target="file:///D:\__Study\Projects\C%23\AzurLane\AzurLane\Pics\Equip\Torpedo\&#28508;&#33351;&#29992;G7a&#40060;&#38647;T3.jpg" TargetMode="External"/><Relationship Id="rId94" Type="http://schemas.openxmlformats.org/officeDocument/2006/relationships/image" Target="file:///D:\__Study\Projects\C%23\AzurLane\AzurLane\Pics\Equip\Torpedo\&#28508;&#33351;&#29992;Mark14&#40060;&#38647;T1.jpg" TargetMode="External"/><Relationship Id="rId99" Type="http://schemas.openxmlformats.org/officeDocument/2006/relationships/image" Target="../media/image317.jpeg"/><Relationship Id="rId101" Type="http://schemas.openxmlformats.org/officeDocument/2006/relationships/image" Target="../media/image318.jpeg"/><Relationship Id="rId4" Type="http://schemas.openxmlformats.org/officeDocument/2006/relationships/image" Target="file:///D:\__Study\Projects\C%23\AzurLane\AzurLane\Pics\Equip\Torpedo\&#19977;&#32852;&#35013;533mm&#30913;&#24615;&#40060;&#38647;T2.jpg" TargetMode="External"/><Relationship Id="rId9" Type="http://schemas.openxmlformats.org/officeDocument/2006/relationships/image" Target="../media/image272.jpeg"/><Relationship Id="rId13" Type="http://schemas.openxmlformats.org/officeDocument/2006/relationships/image" Target="../media/image274.jpeg"/><Relationship Id="rId18" Type="http://schemas.openxmlformats.org/officeDocument/2006/relationships/image" Target="file:///D:\__Study\Projects\C%23\AzurLane\AzurLane\Pics\Equip\Torpedo\&#19977;&#32852;&#35013;610mm&#40060;&#38647;T1.jpg" TargetMode="External"/><Relationship Id="rId39" Type="http://schemas.openxmlformats.org/officeDocument/2006/relationships/image" Target="../media/image287.jpeg"/><Relationship Id="rId34" Type="http://schemas.openxmlformats.org/officeDocument/2006/relationships/image" Target="file:///D:\__Study\Projects\C%23\AzurLane\AzurLane\Pics\Equip\Torpedo\&#20116;&#32852;&#35013;533mm&#40060;&#38647;T3.jpg" TargetMode="External"/><Relationship Id="rId50" Type="http://schemas.openxmlformats.org/officeDocument/2006/relationships/image" Target="file:///D:\__Study\Projects\C%23\AzurLane\AzurLane\Pics\Equip\Torpedo\&#22235;&#32852;&#35013;533mm&#30913;&#24615;&#40060;&#38647;T3.jpg" TargetMode="External"/><Relationship Id="rId55" Type="http://schemas.openxmlformats.org/officeDocument/2006/relationships/image" Target="../media/image295.jpeg"/><Relationship Id="rId76" Type="http://schemas.openxmlformats.org/officeDocument/2006/relationships/image" Target="file:///D:\__Study\Projects\C%23\AzurLane\AzurLane\Pics\Equip\Torpedo\&#28508;&#33351;&#29992;95&#24335;&#32431;&#27687;&#40060;&#38647;T1.jpg" TargetMode="External"/><Relationship Id="rId97" Type="http://schemas.openxmlformats.org/officeDocument/2006/relationships/image" Target="../media/image316.jpeg"/><Relationship Id="rId104" Type="http://schemas.openxmlformats.org/officeDocument/2006/relationships/image" Target="file:///D:\__Study\Projects\C%23\AzurLane\AzurLane\Pics\Equip\Torpedo\&#28508;&#33351;&#29992;Mark16&#40060;&#38647;T3.jpg" TargetMode="External"/><Relationship Id="rId7" Type="http://schemas.openxmlformats.org/officeDocument/2006/relationships/image" Target="../media/image271.jpeg"/><Relationship Id="rId71" Type="http://schemas.openxmlformats.org/officeDocument/2006/relationships/image" Target="../media/image303.jpeg"/><Relationship Id="rId92" Type="http://schemas.openxmlformats.org/officeDocument/2006/relationships/image" Target="file:///D:\__Study\Projects\C%23\AzurLane\AzurLane\Pics\Equip\Torpedo\&#28508;&#33351;&#29992;G7e&#22768;&#23548;&#40060;&#38647;T3.jpg" TargetMode="External"/><Relationship Id="rId2" Type="http://schemas.openxmlformats.org/officeDocument/2006/relationships/image" Target="file:///D:\__Study\Projects\C%23\AzurLane\AzurLane\Pics\Equip\Torpedo\&#19977;&#32852;&#35013;533mm&#30913;&#24615;&#40060;&#38647;T1.jpg" TargetMode="External"/><Relationship Id="rId29" Type="http://schemas.openxmlformats.org/officeDocument/2006/relationships/image" Target="../media/image282.jpeg"/><Relationship Id="rId24" Type="http://schemas.openxmlformats.org/officeDocument/2006/relationships/image" Target="file:///D:\__Study\Projects\C%23\AzurLane\AzurLane\Pics\Equip\Torpedo\&#20116;&#32852;&#35013;533mm&#30913;&#24615;&#40060;&#38647;T1.jpg" TargetMode="External"/><Relationship Id="rId40" Type="http://schemas.openxmlformats.org/officeDocument/2006/relationships/image" Target="file:///D:\__Study\Projects\C%23\AzurLane\AzurLane\Pics\Equip\Torpedo\&#21452;&#32852;&#35013;610mm&#40060;&#38647;T1.jpg" TargetMode="External"/><Relationship Id="rId45" Type="http://schemas.openxmlformats.org/officeDocument/2006/relationships/image" Target="../media/image290.jpeg"/><Relationship Id="rId66" Type="http://schemas.openxmlformats.org/officeDocument/2006/relationships/image" Target="file:///D:\__Study\Projects\C%23\AzurLane\AzurLane\Pics\Equip\Torpedo\&#28508;&#33351;&#29992;550mm24V&#40060;&#38647;T2.jpg" TargetMode="External"/><Relationship Id="rId87" Type="http://schemas.openxmlformats.org/officeDocument/2006/relationships/image" Target="../media/image311.jpeg"/><Relationship Id="rId61" Type="http://schemas.openxmlformats.org/officeDocument/2006/relationships/image" Target="../media/image298.jpeg"/><Relationship Id="rId82" Type="http://schemas.openxmlformats.org/officeDocument/2006/relationships/image" Target="file:///D:\__Study\Projects\C%23\AzurLane\AzurLane\Pics\Equip\Torpedo\&#28508;&#33351;&#29992;G7a&#40060;&#38647;T1.jpg" TargetMode="External"/><Relationship Id="rId19" Type="http://schemas.openxmlformats.org/officeDocument/2006/relationships/image" Target="../media/image277.jpeg"/><Relationship Id="rId14" Type="http://schemas.openxmlformats.org/officeDocument/2006/relationships/image" Target="file:///D:\__Study\Projects\C%23\AzurLane\AzurLane\Pics\Equip\Torpedo\&#19977;&#32852;&#35013;550mm&#40060;&#38647;T1.jpg" TargetMode="External"/><Relationship Id="rId30" Type="http://schemas.openxmlformats.org/officeDocument/2006/relationships/image" Target="file:///D:\__Study\Projects\C%23\AzurLane\AzurLane\Pics\Equip\Torpedo\&#20116;&#32852;&#35013;533mm&#40060;&#38647;T1.jpg" TargetMode="External"/><Relationship Id="rId35" Type="http://schemas.openxmlformats.org/officeDocument/2006/relationships/image" Target="../media/image285.jpeg"/><Relationship Id="rId56" Type="http://schemas.openxmlformats.org/officeDocument/2006/relationships/image" Target="file:///D:\__Study\Projects\C%23\AzurLane\AzurLane\Pics\Equip\Torpedo\&#22235;&#32852;&#35013;533mm&#40060;&#38647;T3.jpg" TargetMode="External"/><Relationship Id="rId77" Type="http://schemas.openxmlformats.org/officeDocument/2006/relationships/image" Target="../media/image306.jpeg"/><Relationship Id="rId100" Type="http://schemas.openxmlformats.org/officeDocument/2006/relationships/image" Target="file:///D:\__Study\Projects\C%23\AzurLane\AzurLane\Pics\Equip\Torpedo\&#28508;&#33351;&#29992;Mark16&#40060;&#38647;T1.jpg" TargetMode="External"/><Relationship Id="rId8" Type="http://schemas.openxmlformats.org/officeDocument/2006/relationships/image" Target="file:///D:\__Study\Projects\C%23\AzurLane\AzurLane\Pics\Equip\Torpedo\&#19977;&#32852;&#35013;533mm&#40060;&#38647;T1.jpg" TargetMode="External"/><Relationship Id="rId51" Type="http://schemas.openxmlformats.org/officeDocument/2006/relationships/image" Target="../media/image293.jpeg"/><Relationship Id="rId72" Type="http://schemas.openxmlformats.org/officeDocument/2006/relationships/image" Target="file:///D:\__Study\Projects\C%23\AzurLane\AzurLane\Pics\Equip\Torpedo\&#28508;&#33351;&#29992;92&#24335;&#28508;&#23556;&#40060;&#38647;T2.jpg" TargetMode="External"/><Relationship Id="rId93" Type="http://schemas.openxmlformats.org/officeDocument/2006/relationships/image" Target="../media/image314.jpeg"/><Relationship Id="rId98" Type="http://schemas.openxmlformats.org/officeDocument/2006/relationships/image" Target="file:///D:\__Study\Projects\C%23\AzurLane\AzurLane\Pics\Equip\Torpedo\&#28508;&#33351;&#29992;Mark14&#40060;&#38647;T3.jpg" TargetMode="External"/><Relationship Id="rId3" Type="http://schemas.openxmlformats.org/officeDocument/2006/relationships/image" Target="../media/image269.jpeg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378.jpeg"/><Relationship Id="rId21" Type="http://schemas.openxmlformats.org/officeDocument/2006/relationships/image" Target="../media/image330.jpeg"/><Relationship Id="rId42" Type="http://schemas.openxmlformats.org/officeDocument/2006/relationships/image" Target="file:///D:\__Study\Projects\C%23\AzurLane\AzurLane\Pics\Equip\Plane\GL.2&#33328;&#36733;&#25112;&#26007;&#26426;T0.jpg" TargetMode="External"/><Relationship Id="rId63" Type="http://schemas.openxmlformats.org/officeDocument/2006/relationships/image" Target="../media/image351.jpeg"/><Relationship Id="rId84" Type="http://schemas.openxmlformats.org/officeDocument/2006/relationships/image" Target="file:///D:\__Study\Projects\C%23\AzurLane\AzurLane\Pics\Equip\Plane\TBF&#22797;&#20167;&#32773;T3.jpg" TargetMode="External"/><Relationship Id="rId138" Type="http://schemas.openxmlformats.org/officeDocument/2006/relationships/image" Target="file:///D:\__Study\Projects\C%23\AzurLane\AzurLane\Pics\Equip\Plane\&#27969;&#26143;T1.jpg" TargetMode="External"/><Relationship Id="rId159" Type="http://schemas.openxmlformats.org/officeDocument/2006/relationships/image" Target="../media/image399.jpeg"/><Relationship Id="rId170" Type="http://schemas.openxmlformats.org/officeDocument/2006/relationships/image" Target="file:///D:\__Study\Projects\C%23\AzurLane\AzurLane\Pics\Equip\Plane\&#28779;&#25226;T0.jpg" TargetMode="External"/><Relationship Id="rId191" Type="http://schemas.openxmlformats.org/officeDocument/2006/relationships/image" Target="../media/image415.jpeg"/><Relationship Id="rId205" Type="http://schemas.openxmlformats.org/officeDocument/2006/relationships/image" Target="../media/image422.jpeg"/><Relationship Id="rId107" Type="http://schemas.openxmlformats.org/officeDocument/2006/relationships/image" Target="../media/image373.jpeg"/><Relationship Id="rId11" Type="http://schemas.openxmlformats.org/officeDocument/2006/relationships/image" Target="../media/image325.jpeg"/><Relationship Id="rId32" Type="http://schemas.openxmlformats.org/officeDocument/2006/relationships/image" Target="file:///D:\__Study\Projects\C%23\AzurLane\AzurLane\Pics\Equip\Plane\F4U&#28023;&#30423;T3.jpg" TargetMode="External"/><Relationship Id="rId53" Type="http://schemas.openxmlformats.org/officeDocument/2006/relationships/image" Target="../media/image346.jpeg"/><Relationship Id="rId74" Type="http://schemas.openxmlformats.org/officeDocument/2006/relationships/image" Target="file:///D:\__Study\Projects\C%23\AzurLane\AzurLane\Pics\Equip\Plane\TBD&#36418;&#36495;&#32773;T1.jpg" TargetMode="External"/><Relationship Id="rId128" Type="http://schemas.openxmlformats.org/officeDocument/2006/relationships/image" Target="file:///D:\__Study\Projects\C%23\AzurLane\AzurLane\Pics\Equip\Plane\&#26228;&#23706;T0.jpg" TargetMode="External"/><Relationship Id="rId149" Type="http://schemas.openxmlformats.org/officeDocument/2006/relationships/image" Target="../media/image394.jpeg"/><Relationship Id="rId5" Type="http://schemas.openxmlformats.org/officeDocument/2006/relationships/image" Target="../media/image322.jpeg"/><Relationship Id="rId95" Type="http://schemas.openxmlformats.org/officeDocument/2006/relationships/image" Target="../media/image367.jpeg"/><Relationship Id="rId160" Type="http://schemas.openxmlformats.org/officeDocument/2006/relationships/image" Target="file:///D:\__Study\Projects\C%23\AzurLane\AzurLane\Pics\Equip\Plane\&#28023;&#27602;&#29273;T2.jpg" TargetMode="External"/><Relationship Id="rId181" Type="http://schemas.openxmlformats.org/officeDocument/2006/relationships/image" Target="../media/image410.jpeg"/><Relationship Id="rId22" Type="http://schemas.openxmlformats.org/officeDocument/2006/relationships/image" Target="file:///D:\__Study\Projects\C%23\AzurLane\AzurLane\Pics\Equip\Plane\F4F&#37326;&#29483;T1.jpg" TargetMode="External"/><Relationship Id="rId43" Type="http://schemas.openxmlformats.org/officeDocument/2006/relationships/image" Target="../media/image341.jpeg"/><Relationship Id="rId64" Type="http://schemas.openxmlformats.org/officeDocument/2006/relationships/image" Target="file:///D:\__Study\Projects\C%23\AzurLane\AzurLane\Pics\Equip\Plane\SBD&#26080;&#30031;(&#40614;&#20811;&#25289;&#26031;&#22522;&#38431;)T0.jpg" TargetMode="External"/><Relationship Id="rId118" Type="http://schemas.openxmlformats.org/officeDocument/2006/relationships/image" Target="file:///D:\__Study\Projects\C%23\AzurLane\AzurLane\Pics\Equip\Plane\&#22825;&#23665;T2.jpg" TargetMode="External"/><Relationship Id="rId139" Type="http://schemas.openxmlformats.org/officeDocument/2006/relationships/image" Target="../media/image389.jpeg"/><Relationship Id="rId85" Type="http://schemas.openxmlformats.org/officeDocument/2006/relationships/image" Target="../media/image362.jpeg"/><Relationship Id="rId150" Type="http://schemas.openxmlformats.org/officeDocument/2006/relationships/image" Target="file:///D:\__Study\Projects\C%23\AzurLane\AzurLane\Pics\Equip\Plane\&#28023;&#24594;T0.jpg" TargetMode="External"/><Relationship Id="rId171" Type="http://schemas.openxmlformats.org/officeDocument/2006/relationships/image" Target="../media/image405.jpeg"/><Relationship Id="rId192" Type="http://schemas.openxmlformats.org/officeDocument/2006/relationships/image" Target="file:///D:\__Study\Projects\C%23\AzurLane\AzurLane\Pics\Equip\Plane\&#38646;&#25112;&#20108;&#19968;&#22411;T1.jpg" TargetMode="External"/><Relationship Id="rId206" Type="http://schemas.openxmlformats.org/officeDocument/2006/relationships/image" Target="file:///D:\__Study\Projects\C%23\AzurLane\AzurLane\Pics\Equip\Plane\&#38738;&#33457;&#40060;T2.jpg" TargetMode="External"/><Relationship Id="rId12" Type="http://schemas.openxmlformats.org/officeDocument/2006/relationships/image" Target="file:///D:\__Study\Projects\C%23\AzurLane\AzurLane\Pics\Equip\Plane\BTD-1&#27585;&#28781;&#32773;T3.jpg" TargetMode="External"/><Relationship Id="rId33" Type="http://schemas.openxmlformats.org/officeDocument/2006/relationships/image" Target="../media/image336.jpeg"/><Relationship Id="rId108" Type="http://schemas.openxmlformats.org/officeDocument/2006/relationships/image" Target="file:///D:\__Study\Projects\C%23\AzurLane\AzurLane\Pics\Equip\Plane\&#21073;&#40060;(818&#20013;&#38431;)T0.jpg" TargetMode="External"/><Relationship Id="rId129" Type="http://schemas.openxmlformats.org/officeDocument/2006/relationships/image" Target="../media/image384.jpeg"/><Relationship Id="rId54" Type="http://schemas.openxmlformats.org/officeDocument/2006/relationships/image" Target="file:///D:\__Study\Projects\C%23\AzurLane\AzurLane\Pics\Equip\Plane\Me-155A&#33328;&#36733;&#25112;&#26007;&#26426;T3.jpg" TargetMode="External"/><Relationship Id="rId75" Type="http://schemas.openxmlformats.org/officeDocument/2006/relationships/image" Target="../media/image357.jpeg"/><Relationship Id="rId96" Type="http://schemas.openxmlformats.org/officeDocument/2006/relationships/image" Target="file:///D:\__Study\Projects\C%23\AzurLane\AzurLane\Pics\Equip\Plane\&#20061;&#20061;&#24335;&#33328;&#29190;T1.jpg" TargetMode="External"/><Relationship Id="rId140" Type="http://schemas.openxmlformats.org/officeDocument/2006/relationships/image" Target="file:///D:\__Study\Projects\C%23\AzurLane\AzurLane\Pics\Equip\Plane\&#27969;&#26143;T2.jpg" TargetMode="External"/><Relationship Id="rId161" Type="http://schemas.openxmlformats.org/officeDocument/2006/relationships/image" Target="../media/image400.jpeg"/><Relationship Id="rId182" Type="http://schemas.openxmlformats.org/officeDocument/2006/relationships/image" Target="file:///D:\__Study\Projects\C%23\AzurLane\AzurLane\Pics\Equip\Plane\&#29790;&#20113;T3.jpg" TargetMode="External"/><Relationship Id="rId6" Type="http://schemas.openxmlformats.org/officeDocument/2006/relationships/image" Target="file:///D:\__Study\Projects\C%23\AzurLane\AzurLane\Pics\Equip\Plane\BF-109T&#33328;&#36733;&#25112;&#26007;&#26426;T3.jpg" TargetMode="External"/><Relationship Id="rId23" Type="http://schemas.openxmlformats.org/officeDocument/2006/relationships/image" Target="../media/image331.jpeg"/><Relationship Id="rId119" Type="http://schemas.openxmlformats.org/officeDocument/2006/relationships/image" Target="../media/image379.jpeg"/><Relationship Id="rId44" Type="http://schemas.openxmlformats.org/officeDocument/2006/relationships/image" Target="file:///D:\__Study\Projects\C%23\AzurLane\AzurLane\Pics\Equip\Plane\Ju-87C&#20463;&#20914;&#36720;&#28856;&#26426;T1.jpg" TargetMode="External"/><Relationship Id="rId65" Type="http://schemas.openxmlformats.org/officeDocument/2006/relationships/image" Target="../media/image352.jpeg"/><Relationship Id="rId86" Type="http://schemas.openxmlformats.org/officeDocument/2006/relationships/image" Target="file:///D:\__Study\Projects\C%23\AzurLane\AzurLane\Pics\Equip\Plane\TBM&#22797;&#20167;&#32773;(VT-18&#20013;&#38431;)T0.jpg" TargetMode="External"/><Relationship Id="rId130" Type="http://schemas.openxmlformats.org/officeDocument/2006/relationships/image" Target="file:///D:\__Study\Projects\C%23\AzurLane\AzurLane\Pics\Equip\Plane\&#26797;&#40060;(831&#20013;&#38431;)T0.jpg" TargetMode="External"/><Relationship Id="rId151" Type="http://schemas.openxmlformats.org/officeDocument/2006/relationships/image" Target="../media/image395.jpeg"/><Relationship Id="rId172" Type="http://schemas.openxmlformats.org/officeDocument/2006/relationships/image" Target="file:///D:\__Study\Projects\C%23\AzurLane\AzurLane\Pics\Equip\Plane\&#28872;&#39118;T1.jpg" TargetMode="External"/><Relationship Id="rId193" Type="http://schemas.openxmlformats.org/officeDocument/2006/relationships/image" Target="../media/image416.jpeg"/><Relationship Id="rId207" Type="http://schemas.openxmlformats.org/officeDocument/2006/relationships/image" Target="../media/image423.jpeg"/><Relationship Id="rId13" Type="http://schemas.openxmlformats.org/officeDocument/2006/relationships/image" Target="../media/image326.jpeg"/><Relationship Id="rId109" Type="http://schemas.openxmlformats.org/officeDocument/2006/relationships/image" Target="../media/image374.jpeg"/><Relationship Id="rId34" Type="http://schemas.openxmlformats.org/officeDocument/2006/relationships/image" Target="file:///D:\__Study\Projects\C%23\AzurLane\AzurLane\Pics\Equip\Plane\F4U&#65288;VF-17&#8220;&#28023;&#30423;&#8221;&#20013;&#38431;&#65289;T0.jpg" TargetMode="External"/><Relationship Id="rId55" Type="http://schemas.openxmlformats.org/officeDocument/2006/relationships/image" Target="../media/image347.jpeg"/><Relationship Id="rId76" Type="http://schemas.openxmlformats.org/officeDocument/2006/relationships/image" Target="file:///D:\__Study\Projects\C%23\AzurLane\AzurLane\Pics\Equip\Plane\TBD&#36418;&#36495;&#32773;T2.jpg" TargetMode="External"/><Relationship Id="rId97" Type="http://schemas.openxmlformats.org/officeDocument/2006/relationships/image" Target="../media/image368.jpeg"/><Relationship Id="rId120" Type="http://schemas.openxmlformats.org/officeDocument/2006/relationships/image" Target="file:///D:\__Study\Projects\C%23\AzurLane\AzurLane\Pics\Equip\Plane\&#22825;&#23665;T3.jpg" TargetMode="External"/><Relationship Id="rId141" Type="http://schemas.openxmlformats.org/officeDocument/2006/relationships/image" Target="../media/image390.jpeg"/><Relationship Id="rId7" Type="http://schemas.openxmlformats.org/officeDocument/2006/relationships/image" Target="../media/image323.jpeg"/><Relationship Id="rId162" Type="http://schemas.openxmlformats.org/officeDocument/2006/relationships/image" Target="file:///D:\__Study\Projects\C%23\AzurLane\AzurLane\Pics\Equip\Plane\&#28023;&#27602;&#29273;T3.jpg" TargetMode="External"/><Relationship Id="rId183" Type="http://schemas.openxmlformats.org/officeDocument/2006/relationships/image" Target="../media/image411.jpeg"/><Relationship Id="rId24" Type="http://schemas.openxmlformats.org/officeDocument/2006/relationships/image" Target="file:///D:\__Study\Projects\C%23\AzurLane\AzurLane\Pics\Equip\Plane\F4F&#37326;&#29483;T2.jpg" TargetMode="External"/><Relationship Id="rId40" Type="http://schemas.openxmlformats.org/officeDocument/2006/relationships/image" Target="file:///D:\__Study\Projects\C%23\AzurLane\AzurLane\Pics\Equip\Plane\F6F&#22320;&#29425;&#29483;T3.jpg" TargetMode="External"/><Relationship Id="rId45" Type="http://schemas.openxmlformats.org/officeDocument/2006/relationships/image" Target="../media/image342.jpeg"/><Relationship Id="rId66" Type="http://schemas.openxmlformats.org/officeDocument/2006/relationships/image" Target="file:///D:\__Study\Projects\C%23\AzurLane\AzurLane\Pics\Equip\Plane\SBD&#26080;&#30031;T1.jpg" TargetMode="External"/><Relationship Id="rId87" Type="http://schemas.openxmlformats.org/officeDocument/2006/relationships/image" Target="../media/image363.jpeg"/><Relationship Id="rId110" Type="http://schemas.openxmlformats.org/officeDocument/2006/relationships/image" Target="file:///D:\__Study\Projects\C%23\AzurLane\AzurLane\Pics\Equip\Plane\&#21073;&#40060;T1.jpg" TargetMode="External"/><Relationship Id="rId115" Type="http://schemas.openxmlformats.org/officeDocument/2006/relationships/image" Target="../media/image377.jpeg"/><Relationship Id="rId131" Type="http://schemas.openxmlformats.org/officeDocument/2006/relationships/image" Target="../media/image385.jpeg"/><Relationship Id="rId136" Type="http://schemas.openxmlformats.org/officeDocument/2006/relationships/image" Target="file:///D:\__Study\Projects\C%23\AzurLane\AzurLane\Pics\Equip\Plane\&#26797;&#40060;T3.jpg" TargetMode="External"/><Relationship Id="rId157" Type="http://schemas.openxmlformats.org/officeDocument/2006/relationships/image" Target="../media/image398.jpeg"/><Relationship Id="rId178" Type="http://schemas.openxmlformats.org/officeDocument/2006/relationships/image" Target="file:///D:\__Study\Projects\C%23\AzurLane\AzurLane\Pics\Equip\Plane\&#29790;&#20113;T1.jpg" TargetMode="External"/><Relationship Id="rId61" Type="http://schemas.openxmlformats.org/officeDocument/2006/relationships/image" Target="../media/image350.jpeg"/><Relationship Id="rId82" Type="http://schemas.openxmlformats.org/officeDocument/2006/relationships/image" Target="file:///D:\__Study\Projects\C%23\AzurLane\AzurLane\Pics\Equip\Plane\TBF&#22797;&#20167;&#32773;T2.jpg" TargetMode="External"/><Relationship Id="rId152" Type="http://schemas.openxmlformats.org/officeDocument/2006/relationships/image" Target="file:///D:\__Study\Projects\C%23\AzurLane\AzurLane\Pics\Equip\Plane\&#28023;&#26007;&#22763;T1.jpg" TargetMode="External"/><Relationship Id="rId173" Type="http://schemas.openxmlformats.org/officeDocument/2006/relationships/image" Target="../media/image406.jpeg"/><Relationship Id="rId194" Type="http://schemas.openxmlformats.org/officeDocument/2006/relationships/image" Target="file:///D:\__Study\Projects\C%23\AzurLane\AzurLane\Pics\Equip\Plane\&#38646;&#25112;&#20108;&#19968;&#22411;T2.jpg" TargetMode="External"/><Relationship Id="rId199" Type="http://schemas.openxmlformats.org/officeDocument/2006/relationships/image" Target="../media/image419.jpeg"/><Relationship Id="rId203" Type="http://schemas.openxmlformats.org/officeDocument/2006/relationships/image" Target="../media/image421.jpeg"/><Relationship Id="rId208" Type="http://schemas.openxmlformats.org/officeDocument/2006/relationships/image" Target="file:///D:\__Study\Projects\C%23\AzurLane\AzurLane\Pics\Equip\Plane\&#38738;&#33457;&#40060;T3.jpg" TargetMode="External"/><Relationship Id="rId19" Type="http://schemas.openxmlformats.org/officeDocument/2006/relationships/image" Target="../media/image329.jpeg"/><Relationship Id="rId14" Type="http://schemas.openxmlformats.org/officeDocument/2006/relationships/image" Target="file:///D:\__Study\Projects\C%23\AzurLane\AzurLane\Pics\Equip\Plane\F2A&#27700;&#29275;(&#33832;&#22855;&#38431;)T0.jpg" TargetMode="External"/><Relationship Id="rId30" Type="http://schemas.openxmlformats.org/officeDocument/2006/relationships/image" Target="file:///D:\__Study\Projects\C%23\AzurLane\AzurLane\Pics\Equip\Plane\F4U&#28023;&#30423;T2.jpg" TargetMode="External"/><Relationship Id="rId35" Type="http://schemas.openxmlformats.org/officeDocument/2006/relationships/image" Target="../media/image337.jpeg"/><Relationship Id="rId56" Type="http://schemas.openxmlformats.org/officeDocument/2006/relationships/image" Target="file:///D:\__Study\Projects\C%23\AzurLane\AzurLane\Pics\Equip\Plane\PL.7&#33328;&#36733;&#40060;&#38647;&#26426;T0.jpg" TargetMode="External"/><Relationship Id="rId77" Type="http://schemas.openxmlformats.org/officeDocument/2006/relationships/image" Target="../media/image358.jpeg"/><Relationship Id="rId100" Type="http://schemas.openxmlformats.org/officeDocument/2006/relationships/image" Target="file:///D:\__Study\Projects\C%23\AzurLane\AzurLane\Pics\Equip\Plane\&#20061;&#20061;&#24335;&#33328;&#29190;T3.jpg" TargetMode="External"/><Relationship Id="rId105" Type="http://schemas.openxmlformats.org/officeDocument/2006/relationships/image" Target="../media/image372.jpeg"/><Relationship Id="rId126" Type="http://schemas.openxmlformats.org/officeDocument/2006/relationships/image" Target="file:///D:\__Study\Projects\C%23\AzurLane\AzurLane\Pics\Equip\Plane\&#24407;&#26143;T3.jpg" TargetMode="External"/><Relationship Id="rId147" Type="http://schemas.openxmlformats.org/officeDocument/2006/relationships/image" Target="../media/image393.jpeg"/><Relationship Id="rId168" Type="http://schemas.openxmlformats.org/officeDocument/2006/relationships/image" Target="file:///D:\__Study\Projects\C%23\AzurLane\AzurLane\Pics\Equip\Plane\&#28023;&#29141;T3.jpg" TargetMode="External"/><Relationship Id="rId8" Type="http://schemas.openxmlformats.org/officeDocument/2006/relationships/image" Target="file:///D:\__Study\Projects\C%23\AzurLane\AzurLane\Pics\Equip\Plane\BTD-1&#27585;&#28781;&#32773;T1.jpg" TargetMode="External"/><Relationship Id="rId51" Type="http://schemas.openxmlformats.org/officeDocument/2006/relationships/image" Target="../media/image345.jpeg"/><Relationship Id="rId72" Type="http://schemas.openxmlformats.org/officeDocument/2006/relationships/image" Target="file:///D:\__Study\Projects\C%23\AzurLane\AzurLane\Pics\Equip\Plane\TBD&#36418;&#36495;&#32773;(VT-8&#20013;&#38431;)T0.jpg" TargetMode="External"/><Relationship Id="rId93" Type="http://schemas.openxmlformats.org/officeDocument/2006/relationships/image" Target="../media/image366.jpeg"/><Relationship Id="rId98" Type="http://schemas.openxmlformats.org/officeDocument/2006/relationships/image" Target="file:///D:\__Study\Projects\C%23\AzurLane\AzurLane\Pics\Equip\Plane\&#20061;&#20061;&#24335;&#33328;&#29190;T2.jpg" TargetMode="External"/><Relationship Id="rId121" Type="http://schemas.openxmlformats.org/officeDocument/2006/relationships/image" Target="../media/image380.jpeg"/><Relationship Id="rId142" Type="http://schemas.openxmlformats.org/officeDocument/2006/relationships/image" Target="file:///D:\__Study\Projects\C%23\AzurLane\AzurLane\Pics\Equip\Plane\&#27969;&#26143;T3.jpg" TargetMode="External"/><Relationship Id="rId163" Type="http://schemas.openxmlformats.org/officeDocument/2006/relationships/image" Target="../media/image401.jpeg"/><Relationship Id="rId184" Type="http://schemas.openxmlformats.org/officeDocument/2006/relationships/image" Target="file:///D:\__Study\Projects\C%23\AzurLane\AzurLane\Pics\Equip\Plane\&#33828;&#28779;&#34411;T0.jpg" TargetMode="External"/><Relationship Id="rId189" Type="http://schemas.openxmlformats.org/officeDocument/2006/relationships/image" Target="../media/image414.jpeg"/><Relationship Id="rId3" Type="http://schemas.openxmlformats.org/officeDocument/2006/relationships/image" Target="../media/image321.jpeg"/><Relationship Id="rId25" Type="http://schemas.openxmlformats.org/officeDocument/2006/relationships/image" Target="../media/image332.jpeg"/><Relationship Id="rId46" Type="http://schemas.openxmlformats.org/officeDocument/2006/relationships/image" Target="file:///D:\__Study\Projects\C%23\AzurLane\AzurLane\Pics\Equip\Plane\Ju-87C&#20463;&#20914;&#36720;&#28856;&#26426;T2.jpg" TargetMode="External"/><Relationship Id="rId67" Type="http://schemas.openxmlformats.org/officeDocument/2006/relationships/image" Target="../media/image353.jpeg"/><Relationship Id="rId116" Type="http://schemas.openxmlformats.org/officeDocument/2006/relationships/image" Target="file:///D:\__Study\Projects\C%23\AzurLane\AzurLane\Pics\Equip\Plane\&#22825;&#23665;T1.jpg" TargetMode="External"/><Relationship Id="rId137" Type="http://schemas.openxmlformats.org/officeDocument/2006/relationships/image" Target="../media/image388.jpeg"/><Relationship Id="rId158" Type="http://schemas.openxmlformats.org/officeDocument/2006/relationships/image" Target="file:///D:\__Study\Projects\C%23\AzurLane\AzurLane\Pics\Equip\Plane\&#28023;&#27602;&#29273;T1.jpg" TargetMode="External"/><Relationship Id="rId20" Type="http://schemas.openxmlformats.org/officeDocument/2006/relationships/image" Target="file:///D:\__Study\Projects\C%23\AzurLane\AzurLane\Pics\Equip\Plane\F2A&#27700;&#29275;T3.jpg" TargetMode="External"/><Relationship Id="rId41" Type="http://schemas.openxmlformats.org/officeDocument/2006/relationships/image" Target="../media/image340.jpeg"/><Relationship Id="rId62" Type="http://schemas.openxmlformats.org/officeDocument/2006/relationships/image" Target="file:///D:\__Study\Projects\C%23\AzurLane\AzurLane\Pics\Equip\Plane\SB2C&#22320;&#29425;&#20463;&#20914;&#32773;T3.jpg" TargetMode="External"/><Relationship Id="rId83" Type="http://schemas.openxmlformats.org/officeDocument/2006/relationships/image" Target="../media/image361.jpeg"/><Relationship Id="rId88" Type="http://schemas.openxmlformats.org/officeDocument/2006/relationships/image" Target="file:///D:\__Study\Projects\C%23\AzurLane\AzurLane\Pics\Equip\Plane\XF5F&#22825;&#31661;T0.jpg" TargetMode="External"/><Relationship Id="rId111" Type="http://schemas.openxmlformats.org/officeDocument/2006/relationships/image" Target="../media/image375.jpeg"/><Relationship Id="rId132" Type="http://schemas.openxmlformats.org/officeDocument/2006/relationships/image" Target="file:///D:\__Study\Projects\C%23\AzurLane\AzurLane\Pics\Equip\Plane\&#26797;&#40060;T1.jpg" TargetMode="External"/><Relationship Id="rId153" Type="http://schemas.openxmlformats.org/officeDocument/2006/relationships/image" Target="../media/image396.jpeg"/><Relationship Id="rId174" Type="http://schemas.openxmlformats.org/officeDocument/2006/relationships/image" Target="file:///D:\__Study\Projects\C%23\AzurLane\AzurLane\Pics\Equip\Plane\&#28872;&#39118;T2.jpg" TargetMode="External"/><Relationship Id="rId179" Type="http://schemas.openxmlformats.org/officeDocument/2006/relationships/image" Target="../media/image409.jpeg"/><Relationship Id="rId195" Type="http://schemas.openxmlformats.org/officeDocument/2006/relationships/image" Target="../media/image417.jpeg"/><Relationship Id="rId190" Type="http://schemas.openxmlformats.org/officeDocument/2006/relationships/image" Target="file:///D:\__Study\Projects\C%23\AzurLane\AzurLane\Pics\Equip\Plane\&#36156;&#40485;T3.jpg" TargetMode="External"/><Relationship Id="rId204" Type="http://schemas.openxmlformats.org/officeDocument/2006/relationships/image" Target="file:///D:\__Study\Projects\C%23\AzurLane\AzurLane\Pics\Equip\Plane\&#38738;&#33457;&#40060;T1.jpg" TargetMode="External"/><Relationship Id="rId15" Type="http://schemas.openxmlformats.org/officeDocument/2006/relationships/image" Target="../media/image327.jpeg"/><Relationship Id="rId36" Type="http://schemas.openxmlformats.org/officeDocument/2006/relationships/image" Target="file:///D:\__Study\Projects\C%23\AzurLane\AzurLane\Pics\Equip\Plane\F6F&#22320;&#29425;&#29483;T1.jpg" TargetMode="External"/><Relationship Id="rId57" Type="http://schemas.openxmlformats.org/officeDocument/2006/relationships/image" Target="../media/image348.jpeg"/><Relationship Id="rId106" Type="http://schemas.openxmlformats.org/officeDocument/2006/relationships/image" Target="file:///D:\__Study\Projects\C%23\AzurLane\AzurLane\Pics\Equip\Plane\&#20061;&#20845;&#24335;&#33328;&#25112;T3.jpg" TargetMode="External"/><Relationship Id="rId127" Type="http://schemas.openxmlformats.org/officeDocument/2006/relationships/image" Target="../media/image383.jpeg"/><Relationship Id="rId10" Type="http://schemas.openxmlformats.org/officeDocument/2006/relationships/image" Target="file:///D:\__Study\Projects\C%23\AzurLane\AzurLane\Pics\Equip\Plane\BTD-1&#27585;&#28781;&#32773;T2.jpg" TargetMode="External"/><Relationship Id="rId31" Type="http://schemas.openxmlformats.org/officeDocument/2006/relationships/image" Target="../media/image335.jpeg"/><Relationship Id="rId52" Type="http://schemas.openxmlformats.org/officeDocument/2006/relationships/image" Target="file:///D:\__Study\Projects\C%23\AzurLane\AzurLane\Pics\Equip\Plane\Me-155A&#33328;&#36733;&#25112;&#26007;&#26426;T2.jpg" TargetMode="External"/><Relationship Id="rId73" Type="http://schemas.openxmlformats.org/officeDocument/2006/relationships/image" Target="../media/image356.jpeg"/><Relationship Id="rId78" Type="http://schemas.openxmlformats.org/officeDocument/2006/relationships/image" Target="file:///D:\__Study\Projects\C%23\AzurLane\AzurLane\Pics\Equip\Plane\TBD&#36418;&#36495;&#32773;T3.jpg" TargetMode="External"/><Relationship Id="rId94" Type="http://schemas.openxmlformats.org/officeDocument/2006/relationships/image" Target="file:///D:\__Study\Projects\C%23\AzurLane\AzurLane\Pics\Equip\Plane\&#20061;&#19971;&#24335;&#33328;&#25915;T3.jpg" TargetMode="External"/><Relationship Id="rId99" Type="http://schemas.openxmlformats.org/officeDocument/2006/relationships/image" Target="../media/image369.jpeg"/><Relationship Id="rId101" Type="http://schemas.openxmlformats.org/officeDocument/2006/relationships/image" Target="../media/image370.jpeg"/><Relationship Id="rId122" Type="http://schemas.openxmlformats.org/officeDocument/2006/relationships/image" Target="file:///D:\__Study\Projects\C%23\AzurLane\AzurLane\Pics\Equip\Plane\&#24407;&#26143;T1.jpg" TargetMode="External"/><Relationship Id="rId143" Type="http://schemas.openxmlformats.org/officeDocument/2006/relationships/image" Target="../media/image391.jpeg"/><Relationship Id="rId148" Type="http://schemas.openxmlformats.org/officeDocument/2006/relationships/image" Target="file:///D:\__Study\Projects\C%23\AzurLane\AzurLane\Pics\Equip\Plane\&#28023;&#21943;&#28779;T3.jpg" TargetMode="External"/><Relationship Id="rId164" Type="http://schemas.openxmlformats.org/officeDocument/2006/relationships/image" Target="file:///D:\__Study\Projects\C%23\AzurLane\AzurLane\Pics\Equip\Plane\&#28023;&#29141;T1.jpg" TargetMode="External"/><Relationship Id="rId169" Type="http://schemas.openxmlformats.org/officeDocument/2006/relationships/image" Target="../media/image404.jpeg"/><Relationship Id="rId185" Type="http://schemas.openxmlformats.org/officeDocument/2006/relationships/image" Target="../media/image412.jpeg"/><Relationship Id="rId4" Type="http://schemas.openxmlformats.org/officeDocument/2006/relationships/image" Target="file:///D:\__Study\Projects\C%23\AzurLane\AzurLane\Pics\Equip\Plane\BF-109T&#33328;&#36733;&#25112;&#26007;&#26426;T2.jpg" TargetMode="External"/><Relationship Id="rId9" Type="http://schemas.openxmlformats.org/officeDocument/2006/relationships/image" Target="../media/image324.jpeg"/><Relationship Id="rId180" Type="http://schemas.openxmlformats.org/officeDocument/2006/relationships/image" Target="file:///D:\__Study\Projects\C%23\AzurLane\AzurLane\Pics\Equip\Plane\&#29790;&#20113;T2.jpg" TargetMode="External"/><Relationship Id="rId26" Type="http://schemas.openxmlformats.org/officeDocument/2006/relationships/image" Target="file:///D:\__Study\Projects\C%23\AzurLane\AzurLane\Pics\Equip\Plane\F4F&#37326;&#29483;T3.jpg" TargetMode="External"/><Relationship Id="rId47" Type="http://schemas.openxmlformats.org/officeDocument/2006/relationships/image" Target="../media/image343.jpeg"/><Relationship Id="rId68" Type="http://schemas.openxmlformats.org/officeDocument/2006/relationships/image" Target="file:///D:\__Study\Projects\C%23\AzurLane\AzurLane\Pics\Equip\Plane\SBD&#26080;&#30031;T2.jpg" TargetMode="External"/><Relationship Id="rId89" Type="http://schemas.openxmlformats.org/officeDocument/2006/relationships/image" Target="../media/image364.jpeg"/><Relationship Id="rId112" Type="http://schemas.openxmlformats.org/officeDocument/2006/relationships/image" Target="file:///D:\__Study\Projects\C%23\AzurLane\AzurLane\Pics\Equip\Plane\&#21073;&#40060;T2.jpg" TargetMode="External"/><Relationship Id="rId133" Type="http://schemas.openxmlformats.org/officeDocument/2006/relationships/image" Target="../media/image386.jpeg"/><Relationship Id="rId154" Type="http://schemas.openxmlformats.org/officeDocument/2006/relationships/image" Target="file:///D:\__Study\Projects\C%23\AzurLane\AzurLane\Pics\Equip\Plane\&#28023;&#26007;&#22763;T2.jpg" TargetMode="External"/><Relationship Id="rId175" Type="http://schemas.openxmlformats.org/officeDocument/2006/relationships/image" Target="../media/image407.jpeg"/><Relationship Id="rId196" Type="http://schemas.openxmlformats.org/officeDocument/2006/relationships/image" Target="file:///D:\__Study\Projects\C%23\AzurLane\AzurLane\Pics\Equip\Plane\&#38646;&#25112;&#20108;&#19968;&#22411;T3.jpg" TargetMode="External"/><Relationship Id="rId200" Type="http://schemas.openxmlformats.org/officeDocument/2006/relationships/image" Target="file:///D:\__Study\Projects\C%23\AzurLane\AzurLane\Pics\Equip\Plane\&#38646;&#25112;&#20116;&#20108;&#22411;T2.jpg" TargetMode="External"/><Relationship Id="rId16" Type="http://schemas.openxmlformats.org/officeDocument/2006/relationships/image" Target="file:///D:\__Study\Projects\C%23\AzurLane\AzurLane\Pics\Equip\Plane\F2A&#27700;&#29275;T1.jpg" TargetMode="External"/><Relationship Id="rId37" Type="http://schemas.openxmlformats.org/officeDocument/2006/relationships/image" Target="../media/image338.jpeg"/><Relationship Id="rId58" Type="http://schemas.openxmlformats.org/officeDocument/2006/relationships/image" Target="file:///D:\__Study\Projects\C%23\AzurLane\AzurLane\Pics\Equip\Plane\SB2C&#22320;&#29425;&#20463;&#20914;&#32773;T1.jpg" TargetMode="External"/><Relationship Id="rId79" Type="http://schemas.openxmlformats.org/officeDocument/2006/relationships/image" Target="../media/image359.jpeg"/><Relationship Id="rId102" Type="http://schemas.openxmlformats.org/officeDocument/2006/relationships/image" Target="file:///D:\__Study\Projects\C%23\AzurLane\AzurLane\Pics\Equip\Plane\&#20061;&#20845;&#24335;&#33328;&#25112;T1.jpg" TargetMode="External"/><Relationship Id="rId123" Type="http://schemas.openxmlformats.org/officeDocument/2006/relationships/image" Target="../media/image381.jpeg"/><Relationship Id="rId144" Type="http://schemas.openxmlformats.org/officeDocument/2006/relationships/image" Target="file:///D:\__Study\Projects\C%23\AzurLane\AzurLane\Pics\Equip\Plane\&#28023;&#21943;&#28779;T1.jpg" TargetMode="External"/><Relationship Id="rId90" Type="http://schemas.openxmlformats.org/officeDocument/2006/relationships/image" Target="file:///D:\__Study\Projects\C%23\AzurLane\AzurLane\Pics\Equip\Plane\&#20061;&#19971;&#24335;&#33328;&#25915;T1.jpg" TargetMode="External"/><Relationship Id="rId165" Type="http://schemas.openxmlformats.org/officeDocument/2006/relationships/image" Target="../media/image402.jpeg"/><Relationship Id="rId186" Type="http://schemas.openxmlformats.org/officeDocument/2006/relationships/image" Target="file:///D:\__Study\Projects\C%23\AzurLane\AzurLane\Pics\Equip\Plane\&#36156;&#40485;T1.jpg" TargetMode="External"/><Relationship Id="rId27" Type="http://schemas.openxmlformats.org/officeDocument/2006/relationships/image" Target="../media/image333.jpeg"/><Relationship Id="rId48" Type="http://schemas.openxmlformats.org/officeDocument/2006/relationships/image" Target="file:///D:\__Study\Projects\C%23\AzurLane\AzurLane\Pics\Equip\Plane\Ju-87C&#20463;&#20914;&#36720;&#28856;&#26426;T3.jpg" TargetMode="External"/><Relationship Id="rId69" Type="http://schemas.openxmlformats.org/officeDocument/2006/relationships/image" Target="../media/image354.jpeg"/><Relationship Id="rId113" Type="http://schemas.openxmlformats.org/officeDocument/2006/relationships/image" Target="../media/image376.jpeg"/><Relationship Id="rId134" Type="http://schemas.openxmlformats.org/officeDocument/2006/relationships/image" Target="file:///D:\__Study\Projects\C%23\AzurLane\AzurLane\Pics\Equip\Plane\&#26797;&#40060;T2.jpg" TargetMode="External"/><Relationship Id="rId80" Type="http://schemas.openxmlformats.org/officeDocument/2006/relationships/image" Target="file:///D:\__Study\Projects\C%23\AzurLane\AzurLane\Pics\Equip\Plane\TBF&#22797;&#20167;&#32773;T1.jpg" TargetMode="External"/><Relationship Id="rId155" Type="http://schemas.openxmlformats.org/officeDocument/2006/relationships/image" Target="../media/image397.jpeg"/><Relationship Id="rId176" Type="http://schemas.openxmlformats.org/officeDocument/2006/relationships/image" Target="file:///D:\__Study\Projects\C%23\AzurLane\AzurLane\Pics\Equip\Plane\&#28872;&#39118;T3.jpg" TargetMode="External"/><Relationship Id="rId197" Type="http://schemas.openxmlformats.org/officeDocument/2006/relationships/image" Target="../media/image418.jpeg"/><Relationship Id="rId201" Type="http://schemas.openxmlformats.org/officeDocument/2006/relationships/image" Target="../media/image420.jpeg"/><Relationship Id="rId17" Type="http://schemas.openxmlformats.org/officeDocument/2006/relationships/image" Target="../media/image328.jpeg"/><Relationship Id="rId38" Type="http://schemas.openxmlformats.org/officeDocument/2006/relationships/image" Target="file:///D:\__Study\Projects\C%23\AzurLane\AzurLane\Pics\Equip\Plane\F6F&#22320;&#29425;&#29483;T2.jpg" TargetMode="External"/><Relationship Id="rId59" Type="http://schemas.openxmlformats.org/officeDocument/2006/relationships/image" Target="../media/image349.jpeg"/><Relationship Id="rId103" Type="http://schemas.openxmlformats.org/officeDocument/2006/relationships/image" Target="../media/image371.jpeg"/><Relationship Id="rId124" Type="http://schemas.openxmlformats.org/officeDocument/2006/relationships/image" Target="file:///D:\__Study\Projects\C%23\AzurLane\AzurLane\Pics\Equip\Plane\&#24407;&#26143;T2.jpg" TargetMode="External"/><Relationship Id="rId70" Type="http://schemas.openxmlformats.org/officeDocument/2006/relationships/image" Target="file:///D:\__Study\Projects\C%23\AzurLane\AzurLane\Pics\Equip\Plane\SBD&#26080;&#30031;T3.jpg" TargetMode="External"/><Relationship Id="rId91" Type="http://schemas.openxmlformats.org/officeDocument/2006/relationships/image" Target="../media/image365.jpeg"/><Relationship Id="rId145" Type="http://schemas.openxmlformats.org/officeDocument/2006/relationships/image" Target="../media/image392.jpeg"/><Relationship Id="rId166" Type="http://schemas.openxmlformats.org/officeDocument/2006/relationships/image" Target="file:///D:\__Study\Projects\C%23\AzurLane\AzurLane\Pics\Equip\Plane\&#28023;&#29141;T2.jpg" TargetMode="External"/><Relationship Id="rId187" Type="http://schemas.openxmlformats.org/officeDocument/2006/relationships/image" Target="../media/image413.jpeg"/><Relationship Id="rId1" Type="http://schemas.openxmlformats.org/officeDocument/2006/relationships/image" Target="../media/image320.jpeg"/><Relationship Id="rId28" Type="http://schemas.openxmlformats.org/officeDocument/2006/relationships/image" Target="file:///D:\__Study\Projects\C%23\AzurLane\AzurLane\Pics\Equip\Plane\F4U&#28023;&#30423;T1.jpg" TargetMode="External"/><Relationship Id="rId49" Type="http://schemas.openxmlformats.org/officeDocument/2006/relationships/image" Target="../media/image344.jpeg"/><Relationship Id="rId114" Type="http://schemas.openxmlformats.org/officeDocument/2006/relationships/image" Target="file:///D:\__Study\Projects\C%23\AzurLane\AzurLane\Pics\Equip\Plane\&#21073;&#40060;T3.jpg" TargetMode="External"/><Relationship Id="rId60" Type="http://schemas.openxmlformats.org/officeDocument/2006/relationships/image" Target="file:///D:\__Study\Projects\C%23\AzurLane\AzurLane\Pics\Equip\Plane\SB2C&#22320;&#29425;&#20463;&#20914;&#32773;T2.jpg" TargetMode="External"/><Relationship Id="rId81" Type="http://schemas.openxmlformats.org/officeDocument/2006/relationships/image" Target="../media/image360.jpeg"/><Relationship Id="rId135" Type="http://schemas.openxmlformats.org/officeDocument/2006/relationships/image" Target="../media/image387.jpeg"/><Relationship Id="rId156" Type="http://schemas.openxmlformats.org/officeDocument/2006/relationships/image" Target="file:///D:\__Study\Projects\C%23\AzurLane\AzurLane\Pics\Equip\Plane\&#28023;&#26007;&#22763;T3.jpg" TargetMode="External"/><Relationship Id="rId177" Type="http://schemas.openxmlformats.org/officeDocument/2006/relationships/image" Target="../media/image408.jpeg"/><Relationship Id="rId198" Type="http://schemas.openxmlformats.org/officeDocument/2006/relationships/image" Target="file:///D:\__Study\Projects\C%23\AzurLane\AzurLane\Pics\Equip\Plane\&#38646;&#25112;&#20116;&#20108;&#22411;T1.jpg" TargetMode="External"/><Relationship Id="rId202" Type="http://schemas.openxmlformats.org/officeDocument/2006/relationships/image" Target="file:///D:\__Study\Projects\C%23\AzurLane\AzurLane\Pics\Equip\Plane\&#38646;&#25112;&#20116;&#20108;&#22411;T3.jpg" TargetMode="External"/><Relationship Id="rId18" Type="http://schemas.openxmlformats.org/officeDocument/2006/relationships/image" Target="file:///D:\__Study\Projects\C%23\AzurLane\AzurLane\Pics\Equip\Plane\F2A&#27700;&#29275;T2.jpg" TargetMode="External"/><Relationship Id="rId39" Type="http://schemas.openxmlformats.org/officeDocument/2006/relationships/image" Target="../media/image339.jpeg"/><Relationship Id="rId50" Type="http://schemas.openxmlformats.org/officeDocument/2006/relationships/image" Target="file:///D:\__Study\Projects\C%23\AzurLane\AzurLane\Pics\Equip\Plane\Me-155A&#33328;&#36733;&#25112;&#26007;&#26426;T1.jpg" TargetMode="External"/><Relationship Id="rId104" Type="http://schemas.openxmlformats.org/officeDocument/2006/relationships/image" Target="file:///D:\__Study\Projects\C%23\AzurLane\AzurLane\Pics\Equip\Plane\&#20061;&#20845;&#24335;&#33328;&#25112;T2.jpg" TargetMode="External"/><Relationship Id="rId125" Type="http://schemas.openxmlformats.org/officeDocument/2006/relationships/image" Target="../media/image382.jpeg"/><Relationship Id="rId146" Type="http://schemas.openxmlformats.org/officeDocument/2006/relationships/image" Target="file:///D:\__Study\Projects\C%23\AzurLane\AzurLane\Pics\Equip\Plane\&#28023;&#21943;&#28779;T2.jpg" TargetMode="External"/><Relationship Id="rId167" Type="http://schemas.openxmlformats.org/officeDocument/2006/relationships/image" Target="../media/image403.jpeg"/><Relationship Id="rId188" Type="http://schemas.openxmlformats.org/officeDocument/2006/relationships/image" Target="file:///D:\__Study\Projects\C%23\AzurLane\AzurLane\Pics\Equip\Plane\&#36156;&#40485;T2.jpg" TargetMode="External"/><Relationship Id="rId71" Type="http://schemas.openxmlformats.org/officeDocument/2006/relationships/image" Target="../media/image355.jpeg"/><Relationship Id="rId92" Type="http://schemas.openxmlformats.org/officeDocument/2006/relationships/image" Target="file:///D:\__Study\Projects\C%23\AzurLane\AzurLane\Pics\Equip\Plane\&#20061;&#19971;&#24335;&#33328;&#25915;T2.jpg" TargetMode="External"/><Relationship Id="rId2" Type="http://schemas.openxmlformats.org/officeDocument/2006/relationships/image" Target="file:///D:\__Study\Projects\C%23\AzurLane\AzurLane\Pics\Equip\Plane\BF-109T&#33328;&#36733;&#25112;&#26007;&#26426;T1.jpg" TargetMode="External"/><Relationship Id="rId29" Type="http://schemas.openxmlformats.org/officeDocument/2006/relationships/image" Target="../media/image334.jpeg"/></Relationships>
</file>

<file path=xl/drawings/_rels/drawing5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482.jpeg"/><Relationship Id="rId21" Type="http://schemas.openxmlformats.org/officeDocument/2006/relationships/image" Target="../media/image434.jpeg"/><Relationship Id="rId42" Type="http://schemas.openxmlformats.org/officeDocument/2006/relationships/image" Target="file:///D:\__Study\Projects\C%23\AzurLane\AzurLane\Pics\Equip\Facility\&#20061;&#20843;&#24335;&#23556;&#20987;&#24310;&#36831;&#35013;&#32622;T0.jpg" TargetMode="External"/><Relationship Id="rId63" Type="http://schemas.openxmlformats.org/officeDocument/2006/relationships/image" Target="../media/image455.jpeg"/><Relationship Id="rId84" Type="http://schemas.openxmlformats.org/officeDocument/2006/relationships/image" Target="file:///D:\__Study\Projects\C%23\AzurLane\AzurLane\Pics\Equip\Facility\&#25913;&#33391;&#28145;&#24377;&#25237;&#23556;&#22120;T1.jpg" TargetMode="External"/><Relationship Id="rId138" Type="http://schemas.openxmlformats.org/officeDocument/2006/relationships/image" Target="file:///D:\__Study\Projects\C%23\AzurLane\AzurLane\Pics\Equip\Facility\&#29123;&#27833;&#28388;&#28165;&#22120;T1.jpg" TargetMode="External"/><Relationship Id="rId159" Type="http://schemas.openxmlformats.org/officeDocument/2006/relationships/image" Target="../media/image503.jpeg"/><Relationship Id="rId170" Type="http://schemas.openxmlformats.org/officeDocument/2006/relationships/image" Target="file:///D:\__Study\Projects\C%23\AzurLane\AzurLane\Pics\Equip\Facility\&#33328;&#33351;&#32500;&#20462;&#35774;&#22791;T1.jpg" TargetMode="External"/><Relationship Id="rId191" Type="http://schemas.openxmlformats.org/officeDocument/2006/relationships/image" Target="../media/image519.jpeg"/><Relationship Id="rId205" Type="http://schemas.openxmlformats.org/officeDocument/2006/relationships/image" Target="../media/image526.jpeg"/><Relationship Id="rId107" Type="http://schemas.openxmlformats.org/officeDocument/2006/relationships/image" Target="../media/image477.jpeg"/><Relationship Id="rId11" Type="http://schemas.openxmlformats.org/officeDocument/2006/relationships/image" Target="../media/image429.jpeg"/><Relationship Id="rId32" Type="http://schemas.openxmlformats.org/officeDocument/2006/relationships/image" Target="file:///D:\__Study\Projects\C%23\AzurLane\AzurLane\Pics\Equip\Facility\&#19968;&#24335;&#31359;&#30002;&#24377;T0.jpg" TargetMode="External"/><Relationship Id="rId53" Type="http://schemas.openxmlformats.org/officeDocument/2006/relationships/image" Target="../media/image450.jpeg"/><Relationship Id="rId74" Type="http://schemas.openxmlformats.org/officeDocument/2006/relationships/image" Target="file:///D:\__Study\Projects\C%23\AzurLane\AzurLane\Pics\Equip\Facility\&#24402;&#33322;&#20449;&#26631;T0.jpg" TargetMode="External"/><Relationship Id="rId128" Type="http://schemas.openxmlformats.org/officeDocument/2006/relationships/image" Target="file:///D:\__Study\Projects\C%23\AzurLane\AzurLane\Pics\Equip\Facility\&#28779;&#25511;&#38647;&#36798;T2.jpg" TargetMode="External"/><Relationship Id="rId149" Type="http://schemas.openxmlformats.org/officeDocument/2006/relationships/image" Target="../media/image498.jpeg"/><Relationship Id="rId5" Type="http://schemas.openxmlformats.org/officeDocument/2006/relationships/image" Target="../media/image426.jpeg"/><Relationship Id="rId95" Type="http://schemas.openxmlformats.org/officeDocument/2006/relationships/image" Target="../media/image471.jpeg"/><Relationship Id="rId160" Type="http://schemas.openxmlformats.org/officeDocument/2006/relationships/image" Target="file:///D:\__Study\Projects\C%23\AzurLane\AzurLane\Pics\Equip\Facility\&#32500;&#20462;&#24037;&#20855;T2.jpg" TargetMode="External"/><Relationship Id="rId181" Type="http://schemas.openxmlformats.org/officeDocument/2006/relationships/image" Target="../media/image514.jpeg"/><Relationship Id="rId22" Type="http://schemas.openxmlformats.org/officeDocument/2006/relationships/image" Target="file:///D:\__Study\Projects\C%23\AzurLane\AzurLane\Pics\Equip\Facility\TBM-3&#22797;&#20167;&#32773;(&#21453;&#28508;)T3.jpg" TargetMode="External"/><Relationship Id="rId43" Type="http://schemas.openxmlformats.org/officeDocument/2006/relationships/image" Target="../media/image445.jpeg"/><Relationship Id="rId64" Type="http://schemas.openxmlformats.org/officeDocument/2006/relationships/image" Target="file:///D:\__Study\Projects\C%23\AzurLane\AzurLane\Pics\Equip\Facility\&#22522;&#30784;&#28145;&#24377;&#25237;&#23556;&#22120;T3.jpg" TargetMode="External"/><Relationship Id="rId118" Type="http://schemas.openxmlformats.org/officeDocument/2006/relationships/image" Target="file:///D:\__Study\Projects\C%23\AzurLane\AzurLane\Pics\Equip\Facility\&#28082;&#21387;&#24377;&#23556;&#35013;&#32622;T3.jpg" TargetMode="External"/><Relationship Id="rId139" Type="http://schemas.openxmlformats.org/officeDocument/2006/relationships/image" Target="../media/image493.jpeg"/><Relationship Id="rId85" Type="http://schemas.openxmlformats.org/officeDocument/2006/relationships/image" Target="../media/image466.jpeg"/><Relationship Id="rId150" Type="http://schemas.openxmlformats.org/officeDocument/2006/relationships/image" Target="file:///D:\__Study\Projects\C%23\AzurLane\AzurLane\Pics\Equip\Facility\&#30005;&#21160;&#25196;&#24377;&#26426;T2.jpg" TargetMode="External"/><Relationship Id="rId171" Type="http://schemas.openxmlformats.org/officeDocument/2006/relationships/image" Target="../media/image509.jpeg"/><Relationship Id="rId192" Type="http://schemas.openxmlformats.org/officeDocument/2006/relationships/image" Target="file:///D:\__Study\Projects\C%23\AzurLane\AzurLane\Pics\Equip\Facility\&#38464;&#34746;&#20202;T1.jpg" TargetMode="External"/><Relationship Id="rId206" Type="http://schemas.openxmlformats.org/officeDocument/2006/relationships/image" Target="file:///D:\__Study\Projects\C%23\AzurLane\AzurLane\Pics\Equip\Facility\&#39640;&#24615;&#33021;&#33333;&#26426;T0.jpg" TargetMode="External"/><Relationship Id="rId12" Type="http://schemas.openxmlformats.org/officeDocument/2006/relationships/image" Target="file:///D:\__Study\Projects\C%23\AzurLane\AzurLane\Pics\Equip\Facility\SG&#38647;&#36798;T1.jpg" TargetMode="External"/><Relationship Id="rId33" Type="http://schemas.openxmlformats.org/officeDocument/2006/relationships/image" Target="../media/image440.jpeg"/><Relationship Id="rId108" Type="http://schemas.openxmlformats.org/officeDocument/2006/relationships/image" Target="file:///D:\__Study\Projects\C%23\AzurLane\AzurLane\Pics\Equip\Facility\&#28023;&#20891;&#36855;&#24425;T2.jpg" TargetMode="External"/><Relationship Id="rId129" Type="http://schemas.openxmlformats.org/officeDocument/2006/relationships/image" Target="../media/image488.jpeg"/><Relationship Id="rId54" Type="http://schemas.openxmlformats.org/officeDocument/2006/relationships/image" Target="file:///D:\__Study\Projects\C%23\AzurLane\AzurLane\Pics\Equip\Facility\&#22522;&#30784;&#22768;&#21584;T1.jpg" TargetMode="External"/><Relationship Id="rId75" Type="http://schemas.openxmlformats.org/officeDocument/2006/relationships/image" Target="../media/image461.jpeg"/><Relationship Id="rId96" Type="http://schemas.openxmlformats.org/officeDocument/2006/relationships/image" Target="file:///D:\__Study\Projects\C%23\AzurLane\AzurLane\Pics\Equip\Facility\&#25913;&#33391;&#38149;&#28809;T3.jpg" TargetMode="External"/><Relationship Id="rId140" Type="http://schemas.openxmlformats.org/officeDocument/2006/relationships/image" Target="file:///D:\__Study\Projects\C%23\AzurLane\AzurLane\Pics\Equip\Facility\&#29123;&#27833;&#28388;&#28165;&#22120;T2.jpg" TargetMode="External"/><Relationship Id="rId161" Type="http://schemas.openxmlformats.org/officeDocument/2006/relationships/image" Target="../media/image504.jpeg"/><Relationship Id="rId182" Type="http://schemas.openxmlformats.org/officeDocument/2006/relationships/image" Target="file:///D:\__Study\Projects\C%23\AzurLane\AzurLane\Pics\Equip\Facility\&#38142;&#24335;&#35013;&#24377;&#26426;T2.jpg" TargetMode="External"/><Relationship Id="rId6" Type="http://schemas.openxmlformats.org/officeDocument/2006/relationships/image" Target="file:///D:\__Study\Projects\C%23\AzurLane\AzurLane\Pics\Equip\Facility\Fl-282&#30452;&#21319;&#26426;T0.jpg" TargetMode="External"/><Relationship Id="rId23" Type="http://schemas.openxmlformats.org/officeDocument/2006/relationships/image" Target="../media/image435.jpeg"/><Relationship Id="rId119" Type="http://schemas.openxmlformats.org/officeDocument/2006/relationships/image" Target="../media/image483.jpeg"/><Relationship Id="rId44" Type="http://schemas.openxmlformats.org/officeDocument/2006/relationships/image" Target="file:///D:\__Study\Projects\C%23\AzurLane\AzurLane\Pics\Equip\Facility\&#20390;&#23519;&#25253;&#21578;&#183;&#32445;&#32422;&#36817;&#28023;T0.jpg" TargetMode="External"/><Relationship Id="rId65" Type="http://schemas.openxmlformats.org/officeDocument/2006/relationships/image" Target="../media/image456.jpeg"/><Relationship Id="rId86" Type="http://schemas.openxmlformats.org/officeDocument/2006/relationships/image" Target="file:///D:\__Study\Projects\C%23\AzurLane\AzurLane\Pics\Equip\Facility\&#25913;&#33391;&#28145;&#24377;&#25237;&#23556;&#22120;T2.jpg" TargetMode="External"/><Relationship Id="rId130" Type="http://schemas.openxmlformats.org/officeDocument/2006/relationships/image" Target="file:///D:\__Study\Projects\C%23\AzurLane\AzurLane\Pics\Equip\Facility\&#28779;&#25511;&#38647;&#36798;T3.jpg" TargetMode="External"/><Relationship Id="rId151" Type="http://schemas.openxmlformats.org/officeDocument/2006/relationships/image" Target="../media/image499.jpeg"/><Relationship Id="rId172" Type="http://schemas.openxmlformats.org/officeDocument/2006/relationships/image" Target="file:///D:\__Study\Projects\C%23\AzurLane\AzurLane\Pics\Equip\Facility\&#33328;&#33351;&#32500;&#20462;&#35774;&#22791;T2.jpg" TargetMode="External"/><Relationship Id="rId193" Type="http://schemas.openxmlformats.org/officeDocument/2006/relationships/image" Target="../media/image520.jpeg"/><Relationship Id="rId207" Type="http://schemas.openxmlformats.org/officeDocument/2006/relationships/image" Target="../media/image527.jpeg"/><Relationship Id="rId13" Type="http://schemas.openxmlformats.org/officeDocument/2006/relationships/image" Target="../media/image430.jpeg"/><Relationship Id="rId109" Type="http://schemas.openxmlformats.org/officeDocument/2006/relationships/image" Target="../media/image478.jpeg"/><Relationship Id="rId34" Type="http://schemas.openxmlformats.org/officeDocument/2006/relationships/image" Target="file:///D:\__Study\Projects\C%23\AzurLane\AzurLane\Pics\Equip\Facility\&#20061;&#19968;&#24335;&#31359;&#30002;&#24377;T0.jpg" TargetMode="External"/><Relationship Id="rId55" Type="http://schemas.openxmlformats.org/officeDocument/2006/relationships/image" Target="../media/image451.jpeg"/><Relationship Id="rId76" Type="http://schemas.openxmlformats.org/officeDocument/2006/relationships/image" Target="file:///D:\__Study\Projects\C%23\AzurLane\AzurLane\Pics\Equip\Facility\&#25913;&#33391;&#22411;&#27700;&#19979;&#36827;&#27668;&#31649;T0.jpg" TargetMode="External"/><Relationship Id="rId97" Type="http://schemas.openxmlformats.org/officeDocument/2006/relationships/image" Target="../media/image472.jpeg"/><Relationship Id="rId120" Type="http://schemas.openxmlformats.org/officeDocument/2006/relationships/image" Target="file:///D:\__Study\Projects\C%23\AzurLane\AzurLane\Pics\Equip\Facility\&#28082;&#21387;&#33333;&#26426;T1.jpg" TargetMode="External"/><Relationship Id="rId141" Type="http://schemas.openxmlformats.org/officeDocument/2006/relationships/image" Target="../media/image494.jpeg"/><Relationship Id="rId7" Type="http://schemas.openxmlformats.org/officeDocument/2006/relationships/image" Target="../media/image427.jpeg"/><Relationship Id="rId162" Type="http://schemas.openxmlformats.org/officeDocument/2006/relationships/image" Target="file:///D:\__Study\Projects\C%23\AzurLane\AzurLane\Pics\Equip\Facility\&#32500;&#20462;&#24037;&#20855;T3.jpg" TargetMode="External"/><Relationship Id="rId183" Type="http://schemas.openxmlformats.org/officeDocument/2006/relationships/image" Target="../media/image515.jpeg"/><Relationship Id="rId24" Type="http://schemas.openxmlformats.org/officeDocument/2006/relationships/image" Target="file:///D:\__Study\Projects\C%23\AzurLane\AzurLane\Pics\Equip\Facility\VC&#35013;&#30002;&#38050;&#26495;T0.jpg" TargetMode="External"/><Relationship Id="rId40" Type="http://schemas.openxmlformats.org/officeDocument/2006/relationships/image" Target="file:///D:\__Study\Projects\C%23\AzurLane\AzurLane\Pics\Equip\Facility\&#20061;&#19977;&#24335;&#32431;&#27687;&#40060;&#38647;T3.jpg" TargetMode="External"/><Relationship Id="rId45" Type="http://schemas.openxmlformats.org/officeDocument/2006/relationships/image" Target="../media/image446.jpeg"/><Relationship Id="rId66" Type="http://schemas.openxmlformats.org/officeDocument/2006/relationships/image" Target="file:///D:\__Study\Projects\C%23\AzurLane\AzurLane\Pics\Equip\Facility\&#23545;&#31354;&#38647;&#36798;T1.jpg" TargetMode="External"/><Relationship Id="rId87" Type="http://schemas.openxmlformats.org/officeDocument/2006/relationships/image" Target="../media/image467.jpeg"/><Relationship Id="rId110" Type="http://schemas.openxmlformats.org/officeDocument/2006/relationships/image" Target="file:///D:\__Study\Projects\C%23\AzurLane\AzurLane\Pics\Equip\Facility\&#28023;&#20891;&#36855;&#24425;T3.jpg" TargetMode="External"/><Relationship Id="rId115" Type="http://schemas.openxmlformats.org/officeDocument/2006/relationships/image" Target="../media/image481.jpeg"/><Relationship Id="rId131" Type="http://schemas.openxmlformats.org/officeDocument/2006/relationships/image" Target="../media/image489.jpeg"/><Relationship Id="rId136" Type="http://schemas.openxmlformats.org/officeDocument/2006/relationships/image" Target="file:///D:\__Study\Projects\C%23\AzurLane\AzurLane\Pics\Equip\Facility\&#28781;&#28779;&#22120;T3.jpg" TargetMode="External"/><Relationship Id="rId157" Type="http://schemas.openxmlformats.org/officeDocument/2006/relationships/image" Target="../media/image502.jpeg"/><Relationship Id="rId178" Type="http://schemas.openxmlformats.org/officeDocument/2006/relationships/image" Target="file:///D:\__Study\Projects\C%23\AzurLane\AzurLane\Pics\Equip\Facility\&#36229;&#37325;&#24377;T0.jpg" TargetMode="External"/><Relationship Id="rId61" Type="http://schemas.openxmlformats.org/officeDocument/2006/relationships/image" Target="../media/image454.jpeg"/><Relationship Id="rId82" Type="http://schemas.openxmlformats.org/officeDocument/2006/relationships/image" Target="file:///D:\__Study\Projects\C%23\AzurLane\AzurLane\Pics\Equip\Facility\&#25913;&#33391;&#22768;&#21584;T3.jpg" TargetMode="External"/><Relationship Id="rId152" Type="http://schemas.openxmlformats.org/officeDocument/2006/relationships/image" Target="file:///D:\__Study\Projects\C%23\AzurLane\AzurLane\Pics\Equip\Facility\&#30005;&#21160;&#25196;&#24377;&#26426;T3.jpg" TargetMode="External"/><Relationship Id="rId173" Type="http://schemas.openxmlformats.org/officeDocument/2006/relationships/image" Target="../media/image510.jpeg"/><Relationship Id="rId194" Type="http://schemas.openxmlformats.org/officeDocument/2006/relationships/image" Target="file:///D:\__Study\Projects\C%23\AzurLane\AzurLane\Pics\Equip\Facility\&#38464;&#34746;&#20202;T2.jpg" TargetMode="External"/><Relationship Id="rId199" Type="http://schemas.openxmlformats.org/officeDocument/2006/relationships/image" Target="../media/image523.jpeg"/><Relationship Id="rId203" Type="http://schemas.openxmlformats.org/officeDocument/2006/relationships/image" Target="../media/image525.jpeg"/><Relationship Id="rId208" Type="http://schemas.openxmlformats.org/officeDocument/2006/relationships/image" Target="file:///D:\__Study\Projects\C%23\AzurLane\AzurLane\Pics\Equip\Facility\&#39839;&#40007;&#32925;T0.jpg" TargetMode="External"/><Relationship Id="rId19" Type="http://schemas.openxmlformats.org/officeDocument/2006/relationships/image" Target="../media/image433.jpeg"/><Relationship Id="rId14" Type="http://schemas.openxmlformats.org/officeDocument/2006/relationships/image" Target="file:///D:\__Study\Projects\C%23\AzurLane\AzurLane\Pics\Equip\Facility\SG&#38647;&#36798;T2.jpg" TargetMode="External"/><Relationship Id="rId30" Type="http://schemas.openxmlformats.org/officeDocument/2006/relationships/image" Target="file:///D:\__Study\Projects\C%23\AzurLane\AzurLane\Pics\Equip\Facility\&#8220;&#23425;&#28023;&#21495;&#8221;&#27700;&#19978;&#20390;&#23519;&#26426;T0.jpg" TargetMode="External"/><Relationship Id="rId35" Type="http://schemas.openxmlformats.org/officeDocument/2006/relationships/image" Target="../media/image441.jpeg"/><Relationship Id="rId56" Type="http://schemas.openxmlformats.org/officeDocument/2006/relationships/image" Target="file:///D:\__Study\Projects\C%23\AzurLane\AzurLane\Pics\Equip\Facility\&#22522;&#30784;&#22768;&#21584;T2.jpg" TargetMode="External"/><Relationship Id="rId77" Type="http://schemas.openxmlformats.org/officeDocument/2006/relationships/image" Target="../media/image462.jpeg"/><Relationship Id="rId100" Type="http://schemas.openxmlformats.org/officeDocument/2006/relationships/image" Target="file:///D:\__Study\Projects\C%23\AzurLane\AzurLane\Pics\Equip\Facility\&#26234;&#24935;&#27169;&#22359;T0.jpg" TargetMode="External"/><Relationship Id="rId105" Type="http://schemas.openxmlformats.org/officeDocument/2006/relationships/image" Target="../media/image476.jpeg"/><Relationship Id="rId126" Type="http://schemas.openxmlformats.org/officeDocument/2006/relationships/image" Target="file:///D:\__Study\Projects\C%23\AzurLane\AzurLane\Pics\Equip\Facility\&#28779;&#25511;&#38647;&#36798;T1.jpg" TargetMode="External"/><Relationship Id="rId147" Type="http://schemas.openxmlformats.org/officeDocument/2006/relationships/image" Target="../media/image497.jpeg"/><Relationship Id="rId168" Type="http://schemas.openxmlformats.org/officeDocument/2006/relationships/image" Target="file:///D:\__Study\Projects\C%23\AzurLane\AzurLane\Pics\Equip\Facility\&#33322;&#31354;&#21103;&#27833;&#31665;T3.jpg" TargetMode="External"/><Relationship Id="rId8" Type="http://schemas.openxmlformats.org/officeDocument/2006/relationships/image" Target="file:///D:\__Study\Projects\C%23\AzurLane\AzurLane\Pics\Equip\Facility\Gamers&#30340;&#35777;&#26126;T0.jpg" TargetMode="External"/><Relationship Id="rId51" Type="http://schemas.openxmlformats.org/officeDocument/2006/relationships/image" Target="../media/image449.jpeg"/><Relationship Id="rId72" Type="http://schemas.openxmlformats.org/officeDocument/2006/relationships/image" Target="file:///D:\__Study\Projects\C%23\AzurLane\AzurLane\Pics\Equip\Facility\&#23567;&#28023;&#29432;&#20013;&#38431;&#38431;&#24509;T1.jpg" TargetMode="External"/><Relationship Id="rId93" Type="http://schemas.openxmlformats.org/officeDocument/2006/relationships/image" Target="../media/image470.jpeg"/><Relationship Id="rId98" Type="http://schemas.openxmlformats.org/officeDocument/2006/relationships/image" Target="file:///D:\__Study\Projects\C%23\AzurLane\AzurLane\Pics\Equip\Facility\&#26179;&#24736;&#24736;T0.jpg" TargetMode="External"/><Relationship Id="rId121" Type="http://schemas.openxmlformats.org/officeDocument/2006/relationships/image" Target="../media/image484.jpeg"/><Relationship Id="rId142" Type="http://schemas.openxmlformats.org/officeDocument/2006/relationships/image" Target="file:///D:\__Study\Projects\C%23\AzurLane\AzurLane\Pics\Equip\Facility\&#29123;&#27833;&#28388;&#28165;&#22120;T3.jpg" TargetMode="External"/><Relationship Id="rId163" Type="http://schemas.openxmlformats.org/officeDocument/2006/relationships/image" Target="../media/image505.jpeg"/><Relationship Id="rId184" Type="http://schemas.openxmlformats.org/officeDocument/2006/relationships/image" Target="file:///D:\__Study\Projects\C%23\AzurLane\AzurLane\Pics\Equip\Facility\&#38142;&#24335;&#35013;&#24377;&#26426;T3.jpg" TargetMode="External"/><Relationship Id="rId189" Type="http://schemas.openxmlformats.org/officeDocument/2006/relationships/image" Target="../media/image518.jpeg"/><Relationship Id="rId3" Type="http://schemas.openxmlformats.org/officeDocument/2006/relationships/image" Target="../media/image425.jpeg"/><Relationship Id="rId25" Type="http://schemas.openxmlformats.org/officeDocument/2006/relationships/image" Target="../media/image436.jpeg"/><Relationship Id="rId46" Type="http://schemas.openxmlformats.org/officeDocument/2006/relationships/image" Target="file:///D:\__Study\Projects\C%23\AzurLane\AzurLane\Pics\Equip\Facility\&#21073;&#40060;Mark%20II-ASV(&#21453;&#28508;)T1.jpg" TargetMode="External"/><Relationship Id="rId67" Type="http://schemas.openxmlformats.org/officeDocument/2006/relationships/image" Target="../media/image457.jpeg"/><Relationship Id="rId116" Type="http://schemas.openxmlformats.org/officeDocument/2006/relationships/image" Target="file:///D:\__Study\Projects\C%23\AzurLane\AzurLane\Pics\Equip\Facility\&#28082;&#21387;&#24377;&#23556;&#35013;&#32622;T2.jpg" TargetMode="External"/><Relationship Id="rId137" Type="http://schemas.openxmlformats.org/officeDocument/2006/relationships/image" Target="../media/image492.jpeg"/><Relationship Id="rId158" Type="http://schemas.openxmlformats.org/officeDocument/2006/relationships/image" Target="file:///D:\__Study\Projects\C%23\AzurLane\AzurLane\Pics\Equip\Facility\&#32500;&#20462;&#24037;&#20855;T1.jpg" TargetMode="External"/><Relationship Id="rId20" Type="http://schemas.openxmlformats.org/officeDocument/2006/relationships/image" Target="file:///D:\__Study\Projects\C%23\AzurLane\AzurLane\Pics\Equip\Facility\TBM-3&#22797;&#20167;&#32773;(&#21453;&#28508;)T2.jpg" TargetMode="External"/><Relationship Id="rId41" Type="http://schemas.openxmlformats.org/officeDocument/2006/relationships/image" Target="../media/image444.jpeg"/><Relationship Id="rId62" Type="http://schemas.openxmlformats.org/officeDocument/2006/relationships/image" Target="file:///D:\__Study\Projects\C%23\AzurLane\AzurLane\Pics\Equip\Facility\&#22522;&#30784;&#28145;&#24377;&#25237;&#23556;&#22120;T2.jpg" TargetMode="External"/><Relationship Id="rId83" Type="http://schemas.openxmlformats.org/officeDocument/2006/relationships/image" Target="../media/image465.jpeg"/><Relationship Id="rId88" Type="http://schemas.openxmlformats.org/officeDocument/2006/relationships/image" Target="file:///D:\__Study\Projects\C%23\AzurLane\AzurLane\Pics\Equip\Facility\&#25913;&#33391;&#28145;&#24377;&#25237;&#23556;&#22120;T3.jpg" TargetMode="External"/><Relationship Id="rId111" Type="http://schemas.openxmlformats.org/officeDocument/2006/relationships/image" Target="../media/image479.jpeg"/><Relationship Id="rId132" Type="http://schemas.openxmlformats.org/officeDocument/2006/relationships/image" Target="file:///D:\__Study\Projects\C%23\AzurLane\AzurLane\Pics\Equip\Facility\&#28781;&#28779;&#22120;T1.jpg" TargetMode="External"/><Relationship Id="rId153" Type="http://schemas.openxmlformats.org/officeDocument/2006/relationships/image" Target="../media/image500.jpeg"/><Relationship Id="rId174" Type="http://schemas.openxmlformats.org/officeDocument/2006/relationships/image" Target="file:///D:\__Study\Projects\C%23\AzurLane\AzurLane\Pics\Equip\Facility\&#33328;&#33351;&#32500;&#20462;&#35774;&#22791;T3.jpg" TargetMode="External"/><Relationship Id="rId179" Type="http://schemas.openxmlformats.org/officeDocument/2006/relationships/image" Target="../media/image513.jpeg"/><Relationship Id="rId195" Type="http://schemas.openxmlformats.org/officeDocument/2006/relationships/image" Target="../media/image521.jpeg"/><Relationship Id="rId190" Type="http://schemas.openxmlformats.org/officeDocument/2006/relationships/image" Target="file:///D:\__Study\Projects\C%23\AzurLane\AzurLane\Pics\Equip\Facility\&#38450;&#40060;&#38647;&#38548;&#33329;T3.jpg" TargetMode="External"/><Relationship Id="rId204" Type="http://schemas.openxmlformats.org/officeDocument/2006/relationships/image" Target="file:///D:\__Study\Projects\C%23\AzurLane\AzurLane\Pics\Equip\Facility\&#39640;&#24615;&#33021;&#28779;&#25511;&#38647;&#36798;T0.jpg" TargetMode="External"/><Relationship Id="rId15" Type="http://schemas.openxmlformats.org/officeDocument/2006/relationships/image" Target="../media/image431.jpeg"/><Relationship Id="rId36" Type="http://schemas.openxmlformats.org/officeDocument/2006/relationships/image" Target="file:///D:\__Study\Projects\C%23\AzurLane\AzurLane\Pics\Equip\Facility\&#20061;&#19977;&#24335;&#32431;&#27687;&#40060;&#38647;T1.jpg" TargetMode="External"/><Relationship Id="rId57" Type="http://schemas.openxmlformats.org/officeDocument/2006/relationships/image" Target="../media/image452.jpeg"/><Relationship Id="rId106" Type="http://schemas.openxmlformats.org/officeDocument/2006/relationships/image" Target="file:///D:\__Study\Projects\C%23\AzurLane\AzurLane\Pics\Equip\Facility\&#28023;&#20891;&#36855;&#24425;T1.jpg" TargetMode="External"/><Relationship Id="rId127" Type="http://schemas.openxmlformats.org/officeDocument/2006/relationships/image" Target="../media/image487.jpeg"/><Relationship Id="rId10" Type="http://schemas.openxmlformats.org/officeDocument/2006/relationships/image" Target="file:///D:\__Study\Projects\C%23\AzurLane\AzurLane\Pics\Equip\Facility\PBY-5A&#21345;&#29305;&#29747;&#23068;&#27700;&#19978;&#26426;T0.jpg" TargetMode="External"/><Relationship Id="rId31" Type="http://schemas.openxmlformats.org/officeDocument/2006/relationships/image" Target="../media/image439.jpeg"/><Relationship Id="rId52" Type="http://schemas.openxmlformats.org/officeDocument/2006/relationships/image" Target="file:///D:\__Study\Projects\C%23\AzurLane\AzurLane\Pics\Equip\Facility\&#22235;&#31070;&#20043;&#21360;T0.jpg" TargetMode="External"/><Relationship Id="rId73" Type="http://schemas.openxmlformats.org/officeDocument/2006/relationships/image" Target="../media/image460.jpeg"/><Relationship Id="rId78" Type="http://schemas.openxmlformats.org/officeDocument/2006/relationships/image" Target="file:///D:\__Study\Projects\C%23\AzurLane\AzurLane\Pics\Equip\Facility\&#25913;&#33391;&#22768;&#21584;T1.jpg" TargetMode="External"/><Relationship Id="rId94" Type="http://schemas.openxmlformats.org/officeDocument/2006/relationships/image" Target="file:///D:\__Study\Projects\C%23\AzurLane\AzurLane\Pics\Equip\Facility\&#25913;&#33391;&#38149;&#28809;T2.jpg" TargetMode="External"/><Relationship Id="rId99" Type="http://schemas.openxmlformats.org/officeDocument/2006/relationships/image" Target="../media/image473.jpeg"/><Relationship Id="rId101" Type="http://schemas.openxmlformats.org/officeDocument/2006/relationships/image" Target="../media/image474.jpeg"/><Relationship Id="rId122" Type="http://schemas.openxmlformats.org/officeDocument/2006/relationships/image" Target="file:///D:\__Study\Projects\C%23\AzurLane\AzurLane\Pics\Equip\Facility\&#28082;&#21387;&#33333;&#26426;T2.jpg" TargetMode="External"/><Relationship Id="rId143" Type="http://schemas.openxmlformats.org/officeDocument/2006/relationships/image" Target="../media/image495.jpeg"/><Relationship Id="rId148" Type="http://schemas.openxmlformats.org/officeDocument/2006/relationships/image" Target="file:///D:\__Study\Projects\C%23\AzurLane\AzurLane\Pics\Equip\Facility\&#30005;&#21160;&#25196;&#24377;&#26426;T1.jpg" TargetMode="External"/><Relationship Id="rId164" Type="http://schemas.openxmlformats.org/officeDocument/2006/relationships/image" Target="file:///D:\__Study\Projects\C%23\AzurLane\AzurLane\Pics\Equip\Facility\&#33322;&#31354;&#21103;&#27833;&#31665;T1.jpg" TargetMode="External"/><Relationship Id="rId169" Type="http://schemas.openxmlformats.org/officeDocument/2006/relationships/image" Target="../media/image508.jpeg"/><Relationship Id="rId185" Type="http://schemas.openxmlformats.org/officeDocument/2006/relationships/image" Target="../media/image516.jpeg"/><Relationship Id="rId4" Type="http://schemas.openxmlformats.org/officeDocument/2006/relationships/image" Target="file:///D:\__Study\Projects\C%23\AzurLane\AzurLane\Pics\Equip\Facility\94&#24335;&#39640;&#23556;&#35013;&#32622;T0.jpg" TargetMode="External"/><Relationship Id="rId9" Type="http://schemas.openxmlformats.org/officeDocument/2006/relationships/image" Target="../media/image428.jpeg"/><Relationship Id="rId180" Type="http://schemas.openxmlformats.org/officeDocument/2006/relationships/image" Target="file:///D:\__Study\Projects\C%23\AzurLane\AzurLane\Pics\Equip\Facility\&#38142;&#24335;&#35013;&#24377;&#26426;T1.jpg" TargetMode="External"/><Relationship Id="rId26" Type="http://schemas.openxmlformats.org/officeDocument/2006/relationships/image" Target="file:///D:\__Study\Projects\C%23\AzurLane\AzurLane\Pics\Equip\Facility\VH&#35013;&#30002;&#38050;&#26495;T0.jpg" TargetMode="External"/><Relationship Id="rId47" Type="http://schemas.openxmlformats.org/officeDocument/2006/relationships/image" Target="../media/image447.jpeg"/><Relationship Id="rId68" Type="http://schemas.openxmlformats.org/officeDocument/2006/relationships/image" Target="file:///D:\__Study\Projects\C%23\AzurLane\AzurLane\Pics\Equip\Facility\&#23545;&#31354;&#38647;&#36798;T2.jpg" TargetMode="External"/><Relationship Id="rId89" Type="http://schemas.openxmlformats.org/officeDocument/2006/relationships/image" Target="../media/image468.jpeg"/><Relationship Id="rId112" Type="http://schemas.openxmlformats.org/officeDocument/2006/relationships/image" Target="file:///D:\__Study\Projects\C%23\AzurLane\AzurLane\Pics\Equip\Facility\&#28023;&#39746;&#36855;&#24425;T0.jpg" TargetMode="External"/><Relationship Id="rId133" Type="http://schemas.openxmlformats.org/officeDocument/2006/relationships/image" Target="../media/image490.jpeg"/><Relationship Id="rId154" Type="http://schemas.openxmlformats.org/officeDocument/2006/relationships/image" Target="file:///D:\__Study\Projects\C%23\AzurLane\AzurLane\Pics\Equip\Facility\&#32422;&#23450;&#30340;&#35777;&#26126;T0.jpg" TargetMode="External"/><Relationship Id="rId175" Type="http://schemas.openxmlformats.org/officeDocument/2006/relationships/image" Target="../media/image511.jpeg"/><Relationship Id="rId196" Type="http://schemas.openxmlformats.org/officeDocument/2006/relationships/image" Target="file:///D:\__Study\Projects\C%23\AzurLane\AzurLane\Pics\Equip\Facility\&#38464;&#34746;&#20202;T3.jpg" TargetMode="External"/><Relationship Id="rId200" Type="http://schemas.openxmlformats.org/officeDocument/2006/relationships/image" Target="file:///D:\__Study\Projects\C%23\AzurLane\AzurLane\Pics\Equip\Facility\&#39640;&#21387;&#27687;&#27668;&#29942;T0.jpg" TargetMode="External"/><Relationship Id="rId16" Type="http://schemas.openxmlformats.org/officeDocument/2006/relationships/image" Target="file:///D:\__Study\Projects\C%23\AzurLane\AzurLane\Pics\Equip\Facility\SG&#38647;&#36798;T3.jpg" TargetMode="External"/><Relationship Id="rId37" Type="http://schemas.openxmlformats.org/officeDocument/2006/relationships/image" Target="../media/image442.jpeg"/><Relationship Id="rId58" Type="http://schemas.openxmlformats.org/officeDocument/2006/relationships/image" Target="file:///D:\__Study\Projects\C%23\AzurLane\AzurLane\Pics\Equip\Facility\&#22522;&#30784;&#22768;&#21584;T3.jpg" TargetMode="External"/><Relationship Id="rId79" Type="http://schemas.openxmlformats.org/officeDocument/2006/relationships/image" Target="../media/image463.jpeg"/><Relationship Id="rId102" Type="http://schemas.openxmlformats.org/officeDocument/2006/relationships/image" Target="file:///D:\__Study\Projects\C%23\AzurLane\AzurLane\Pics\Equip\Facility\&#26426;&#23494;&#25991;&#20214;&#183;&#26497;&#22320;&#28023;&#23777;T0.jpg" TargetMode="External"/><Relationship Id="rId123" Type="http://schemas.openxmlformats.org/officeDocument/2006/relationships/image" Target="../media/image485.jpeg"/><Relationship Id="rId144" Type="http://schemas.openxmlformats.org/officeDocument/2006/relationships/image" Target="file:///D:\__Study\Projects\C%23\AzurLane\AzurLane\Pics\Equip\Facility\&#29577;&#31859;&#28783;&#31548;T0.jpg" TargetMode="External"/><Relationship Id="rId90" Type="http://schemas.openxmlformats.org/officeDocument/2006/relationships/image" Target="file:///D:\__Study\Projects\C%23\AzurLane\AzurLane\Pics\Equip\Facility\&#25913;&#33391;&#33988;&#30005;&#27744;&#38453;&#21015;T0.jpg" TargetMode="External"/><Relationship Id="rId165" Type="http://schemas.openxmlformats.org/officeDocument/2006/relationships/image" Target="../media/image506.jpeg"/><Relationship Id="rId186" Type="http://schemas.openxmlformats.org/officeDocument/2006/relationships/image" Target="file:///D:\__Study\Projects\C%23\AzurLane\AzurLane\Pics\Equip\Facility\&#38450;&#40060;&#38647;&#38548;&#33329;T1.jpg" TargetMode="External"/><Relationship Id="rId27" Type="http://schemas.openxmlformats.org/officeDocument/2006/relationships/image" Target="../media/image437.jpeg"/><Relationship Id="rId48" Type="http://schemas.openxmlformats.org/officeDocument/2006/relationships/image" Target="file:///D:\__Study\Projects\C%23\AzurLane\AzurLane\Pics\Equip\Facility\&#21073;&#40060;Mark%20II-ASV(&#21453;&#28508;)T2.jpg" TargetMode="External"/><Relationship Id="rId69" Type="http://schemas.openxmlformats.org/officeDocument/2006/relationships/image" Target="../media/image458.jpeg"/><Relationship Id="rId113" Type="http://schemas.openxmlformats.org/officeDocument/2006/relationships/image" Target="../media/image480.jpeg"/><Relationship Id="rId134" Type="http://schemas.openxmlformats.org/officeDocument/2006/relationships/image" Target="file:///D:\__Study\Projects\C%23\AzurLane\AzurLane\Pics\Equip\Facility\&#28781;&#28779;&#22120;T2.jpg" TargetMode="External"/><Relationship Id="rId80" Type="http://schemas.openxmlformats.org/officeDocument/2006/relationships/image" Target="file:///D:\__Study\Projects\C%23\AzurLane\AzurLane\Pics\Equip\Facility\&#25913;&#33391;&#22768;&#21584;T2.jpg" TargetMode="External"/><Relationship Id="rId155" Type="http://schemas.openxmlformats.org/officeDocument/2006/relationships/image" Target="../media/image501.jpeg"/><Relationship Id="rId176" Type="http://schemas.openxmlformats.org/officeDocument/2006/relationships/image" Target="file:///D:\__Study\Projects\C%23\AzurLane\AzurLane\Pics\Equip\Facility\&#33351;&#22771;&#25913;&#33391;&#35774;&#35745;&#26696;T2.jpg" TargetMode="External"/><Relationship Id="rId197" Type="http://schemas.openxmlformats.org/officeDocument/2006/relationships/image" Target="../media/image522.jpeg"/><Relationship Id="rId201" Type="http://schemas.openxmlformats.org/officeDocument/2006/relationships/image" Target="../media/image524.jpeg"/><Relationship Id="rId17" Type="http://schemas.openxmlformats.org/officeDocument/2006/relationships/image" Target="../media/image432.jpeg"/><Relationship Id="rId38" Type="http://schemas.openxmlformats.org/officeDocument/2006/relationships/image" Target="file:///D:\__Study\Projects\C%23\AzurLane\AzurLane\Pics\Equip\Facility\&#20061;&#19977;&#24335;&#32431;&#27687;&#40060;&#38647;T2.jpg" TargetMode="External"/><Relationship Id="rId59" Type="http://schemas.openxmlformats.org/officeDocument/2006/relationships/image" Target="../media/image453.jpeg"/><Relationship Id="rId103" Type="http://schemas.openxmlformats.org/officeDocument/2006/relationships/image" Target="../media/image475.jpeg"/><Relationship Id="rId124" Type="http://schemas.openxmlformats.org/officeDocument/2006/relationships/image" Target="file:///D:\__Study\Projects\C%23\AzurLane\AzurLane\Pics\Equip\Facility\&#28082;&#21387;&#33333;&#26426;T3.jpg" TargetMode="External"/><Relationship Id="rId70" Type="http://schemas.openxmlformats.org/officeDocument/2006/relationships/image" Target="file:///D:\__Study\Projects\C%23\AzurLane\AzurLane\Pics\Equip\Facility\&#23545;&#31354;&#38647;&#36798;T3.jpg" TargetMode="External"/><Relationship Id="rId91" Type="http://schemas.openxmlformats.org/officeDocument/2006/relationships/image" Target="../media/image469.jpeg"/><Relationship Id="rId145" Type="http://schemas.openxmlformats.org/officeDocument/2006/relationships/image" Target="../media/image496.jpeg"/><Relationship Id="rId166" Type="http://schemas.openxmlformats.org/officeDocument/2006/relationships/image" Target="file:///D:\__Study\Projects\C%23\AzurLane\AzurLane\Pics\Equip\Facility\&#33322;&#31354;&#21103;&#27833;&#31665;T2.jpg" TargetMode="External"/><Relationship Id="rId187" Type="http://schemas.openxmlformats.org/officeDocument/2006/relationships/image" Target="../media/image517.jpeg"/><Relationship Id="rId1" Type="http://schemas.openxmlformats.org/officeDocument/2006/relationships/image" Target="../media/image424.jpeg"/><Relationship Id="rId28" Type="http://schemas.openxmlformats.org/officeDocument/2006/relationships/image" Target="file:///D:\__Study\Projects\C%23\AzurLane\AzurLane\Pics\Equip\Facility\Z&#26071;T0.jpg" TargetMode="External"/><Relationship Id="rId49" Type="http://schemas.openxmlformats.org/officeDocument/2006/relationships/image" Target="../media/image448.jpeg"/><Relationship Id="rId114" Type="http://schemas.openxmlformats.org/officeDocument/2006/relationships/image" Target="file:///D:\__Study\Projects\C%23\AzurLane\AzurLane\Pics\Equip\Facility\&#28082;&#21387;&#24377;&#23556;&#35013;&#32622;T1.jpg" TargetMode="External"/><Relationship Id="rId60" Type="http://schemas.openxmlformats.org/officeDocument/2006/relationships/image" Target="file:///D:\__Study\Projects\C%23\AzurLane\AzurLane\Pics\Equip\Facility\&#22522;&#30784;&#28145;&#24377;&#25237;&#23556;&#22120;T1.jpg" TargetMode="External"/><Relationship Id="rId81" Type="http://schemas.openxmlformats.org/officeDocument/2006/relationships/image" Target="../media/image464.jpeg"/><Relationship Id="rId135" Type="http://schemas.openxmlformats.org/officeDocument/2006/relationships/image" Target="../media/image491.jpeg"/><Relationship Id="rId156" Type="http://schemas.openxmlformats.org/officeDocument/2006/relationships/image" Target="file:///D:\__Study\Projects\C%23\AzurLane\AzurLane\Pics\Equip\Facility\&#32452;&#24509;T0.jpg" TargetMode="External"/><Relationship Id="rId177" Type="http://schemas.openxmlformats.org/officeDocument/2006/relationships/image" Target="../media/image512.jpeg"/><Relationship Id="rId198" Type="http://schemas.openxmlformats.org/officeDocument/2006/relationships/image" Target="file:///D:\__Study\Projects\C%23\AzurLane\AzurLane\Pics\Equip\Facility\&#38543;&#26426;&#21333;&#35789;&#29983;&#25104;&#22120;T0.jpg" TargetMode="External"/><Relationship Id="rId202" Type="http://schemas.openxmlformats.org/officeDocument/2006/relationships/image" Target="file:///D:\__Study\Projects\C%23\AzurLane\AzurLane\Pics\Equip\Facility\&#39640;&#24615;&#33021;&#23545;&#31354;&#38647;&#36798;T0.jpg" TargetMode="External"/><Relationship Id="rId18" Type="http://schemas.openxmlformats.org/officeDocument/2006/relationships/image" Target="file:///D:\__Study\Projects\C%23\AzurLane\AzurLane\Pics\Equip\Facility\TBM-3&#22797;&#20167;&#32773;(&#21453;&#28508;)T1.jpg" TargetMode="External"/><Relationship Id="rId39" Type="http://schemas.openxmlformats.org/officeDocument/2006/relationships/image" Target="../media/image443.jpeg"/><Relationship Id="rId50" Type="http://schemas.openxmlformats.org/officeDocument/2006/relationships/image" Target="file:///D:\__Study\Projects\C%23\AzurLane\AzurLane\Pics\Equip\Facility\&#21073;&#40060;Mark%20II-ASV(&#21453;&#28508;)T3.jpg" TargetMode="External"/><Relationship Id="rId104" Type="http://schemas.openxmlformats.org/officeDocument/2006/relationships/image" Target="file:///D:\__Study\Projects\C%23\AzurLane\AzurLane\Pics\Equip\Facility\&#27835;&#24840;&#31995;&#29483;&#29226;T1.jpg" TargetMode="External"/><Relationship Id="rId125" Type="http://schemas.openxmlformats.org/officeDocument/2006/relationships/image" Target="../media/image486.jpeg"/><Relationship Id="rId146" Type="http://schemas.openxmlformats.org/officeDocument/2006/relationships/image" Target="file:///D:\__Study\Projects\C%23\AzurLane\AzurLane\Pics\Equip\Facility\&#29645;&#29664;&#20043;&#27882;T1.jpg" TargetMode="External"/><Relationship Id="rId167" Type="http://schemas.openxmlformats.org/officeDocument/2006/relationships/image" Target="../media/image507.jpeg"/><Relationship Id="rId188" Type="http://schemas.openxmlformats.org/officeDocument/2006/relationships/image" Target="file:///D:\__Study\Projects\C%23\AzurLane\AzurLane\Pics\Equip\Facility\&#38450;&#40060;&#38647;&#38548;&#33329;T2.jpg" TargetMode="External"/><Relationship Id="rId71" Type="http://schemas.openxmlformats.org/officeDocument/2006/relationships/image" Target="../media/image459.jpeg"/><Relationship Id="rId92" Type="http://schemas.openxmlformats.org/officeDocument/2006/relationships/image" Target="file:///D:\__Study\Projects\C%23\AzurLane\AzurLane\Pics\Equip\Facility\&#25913;&#33391;&#38149;&#28809;T1.jpg" TargetMode="External"/><Relationship Id="rId2" Type="http://schemas.openxmlformats.org/officeDocument/2006/relationships/image" Target="file:///D:\__Study\Projects\C%23\AzurLane\AzurLane\Pics\Equip\Facility\100_150&#21495;&#33322;&#31354;&#29123;&#27833;T0.jpg" TargetMode="External"/><Relationship Id="rId29" Type="http://schemas.openxmlformats.org/officeDocument/2006/relationships/image" Target="../media/image4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60</xdr:row>
      <xdr:rowOff>0</xdr:rowOff>
    </xdr:from>
    <xdr:to>
      <xdr:col>1</xdr:col>
      <xdr:colOff>0</xdr:colOff>
      <xdr:row>61</xdr:row>
      <xdr:rowOff>0</xdr:rowOff>
    </xdr:to>
    <xdr:pic>
      <xdr:nvPicPr>
        <xdr:cNvPr id="2" name="图片 1"/>
        <xdr:cNvPicPr>
          <a:picLocks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34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125</xdr:row>
      <xdr:rowOff>0</xdr:rowOff>
    </xdr:from>
    <xdr:to>
      <xdr:col>1</xdr:col>
      <xdr:colOff>0</xdr:colOff>
      <xdr:row>126</xdr:row>
      <xdr:rowOff>0</xdr:rowOff>
    </xdr:to>
    <xdr:pic>
      <xdr:nvPicPr>
        <xdr:cNvPr id="3" name="图片 2"/>
        <xdr:cNvPicPr>
          <a:picLocks/>
        </xdr:cNvPicPr>
      </xdr:nvPicPr>
      <xdr:blipFill>
        <a:blip xmlns:r="http://schemas.openxmlformats.org/officeDocument/2006/relationships" r:embed="rId3" r:link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86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121</xdr:row>
      <xdr:rowOff>0</xdr:rowOff>
    </xdr:from>
    <xdr:to>
      <xdr:col>1</xdr:col>
      <xdr:colOff>0</xdr:colOff>
      <xdr:row>122</xdr:row>
      <xdr:rowOff>0</xdr:rowOff>
    </xdr:to>
    <xdr:pic>
      <xdr:nvPicPr>
        <xdr:cNvPr id="4" name="图片 3"/>
        <xdr:cNvPicPr>
          <a:picLocks/>
        </xdr:cNvPicPr>
      </xdr:nvPicPr>
      <xdr:blipFill>
        <a:blip xmlns:r="http://schemas.openxmlformats.org/officeDocument/2006/relationships" r:embed="rId5" r:link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239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5" name="图片 4"/>
        <xdr:cNvPicPr>
          <a:picLocks/>
        </xdr:cNvPicPr>
      </xdr:nvPicPr>
      <xdr:blipFill>
        <a:blip xmlns:r="http://schemas.openxmlformats.org/officeDocument/2006/relationships" r:embed="rId7" r:link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192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228</xdr:row>
      <xdr:rowOff>0</xdr:rowOff>
    </xdr:from>
    <xdr:to>
      <xdr:col>1</xdr:col>
      <xdr:colOff>0</xdr:colOff>
      <xdr:row>229</xdr:row>
      <xdr:rowOff>0</xdr:rowOff>
    </xdr:to>
    <xdr:pic>
      <xdr:nvPicPr>
        <xdr:cNvPr id="6" name="图片 5"/>
        <xdr:cNvPicPr>
          <a:picLocks/>
        </xdr:cNvPicPr>
      </xdr:nvPicPr>
      <xdr:blipFill>
        <a:blip xmlns:r="http://schemas.openxmlformats.org/officeDocument/2006/relationships" r:embed="rId9" r:link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45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1</xdr:col>
      <xdr:colOff>0</xdr:colOff>
      <xdr:row>55</xdr:row>
      <xdr:rowOff>0</xdr:rowOff>
    </xdr:to>
    <xdr:pic>
      <xdr:nvPicPr>
        <xdr:cNvPr id="7" name="图片 6"/>
        <xdr:cNvPicPr>
          <a:picLocks/>
        </xdr:cNvPicPr>
      </xdr:nvPicPr>
      <xdr:blipFill>
        <a:blip xmlns:r="http://schemas.openxmlformats.org/officeDocument/2006/relationships" r:embed="rId11" r:link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050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98</xdr:row>
      <xdr:rowOff>0</xdr:rowOff>
    </xdr:from>
    <xdr:to>
      <xdr:col>1</xdr:col>
      <xdr:colOff>0</xdr:colOff>
      <xdr:row>99</xdr:row>
      <xdr:rowOff>0</xdr:rowOff>
    </xdr:to>
    <xdr:pic>
      <xdr:nvPicPr>
        <xdr:cNvPr id="8" name="图片 7"/>
        <xdr:cNvPicPr>
          <a:picLocks/>
        </xdr:cNvPicPr>
      </xdr:nvPicPr>
      <xdr:blipFill>
        <a:blip xmlns:r="http://schemas.openxmlformats.org/officeDocument/2006/relationships" r:embed="rId13" r:link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003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195</xdr:row>
      <xdr:rowOff>0</xdr:rowOff>
    </xdr:from>
    <xdr:to>
      <xdr:col>1</xdr:col>
      <xdr:colOff>0</xdr:colOff>
      <xdr:row>196</xdr:row>
      <xdr:rowOff>0</xdr:rowOff>
    </xdr:to>
    <xdr:pic>
      <xdr:nvPicPr>
        <xdr:cNvPr id="9" name="图片 8"/>
        <xdr:cNvPicPr>
          <a:picLocks/>
        </xdr:cNvPicPr>
      </xdr:nvPicPr>
      <xdr:blipFill>
        <a:blip xmlns:r="http://schemas.openxmlformats.org/officeDocument/2006/relationships" r:embed="rId15" r:link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956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208</xdr:row>
      <xdr:rowOff>0</xdr:rowOff>
    </xdr:from>
    <xdr:to>
      <xdr:col>1</xdr:col>
      <xdr:colOff>0</xdr:colOff>
      <xdr:row>209</xdr:row>
      <xdr:rowOff>0</xdr:rowOff>
    </xdr:to>
    <xdr:pic>
      <xdr:nvPicPr>
        <xdr:cNvPr id="10" name="图片 9"/>
        <xdr:cNvPicPr>
          <a:picLocks/>
        </xdr:cNvPicPr>
      </xdr:nvPicPr>
      <xdr:blipFill>
        <a:blip xmlns:r="http://schemas.openxmlformats.org/officeDocument/2006/relationships" r:embed="rId17" r:link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908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196</xdr:row>
      <xdr:rowOff>0</xdr:rowOff>
    </xdr:from>
    <xdr:to>
      <xdr:col>1</xdr:col>
      <xdr:colOff>0</xdr:colOff>
      <xdr:row>197</xdr:row>
      <xdr:rowOff>0</xdr:rowOff>
    </xdr:to>
    <xdr:pic>
      <xdr:nvPicPr>
        <xdr:cNvPr id="11" name="图片 10"/>
        <xdr:cNvPicPr>
          <a:picLocks/>
        </xdr:cNvPicPr>
      </xdr:nvPicPr>
      <xdr:blipFill>
        <a:blip xmlns:r="http://schemas.openxmlformats.org/officeDocument/2006/relationships" r:embed="rId19" r:link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861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230</xdr:row>
      <xdr:rowOff>0</xdr:rowOff>
    </xdr:from>
    <xdr:to>
      <xdr:col>1</xdr:col>
      <xdr:colOff>0</xdr:colOff>
      <xdr:row>231</xdr:row>
      <xdr:rowOff>0</xdr:rowOff>
    </xdr:to>
    <xdr:pic>
      <xdr:nvPicPr>
        <xdr:cNvPr id="12" name="图片 11"/>
        <xdr:cNvPicPr>
          <a:picLocks/>
        </xdr:cNvPicPr>
      </xdr:nvPicPr>
      <xdr:blipFill>
        <a:blip xmlns:r="http://schemas.openxmlformats.org/officeDocument/2006/relationships" r:embed="rId21" r:link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814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175</xdr:row>
      <xdr:rowOff>0</xdr:rowOff>
    </xdr:from>
    <xdr:to>
      <xdr:col>1</xdr:col>
      <xdr:colOff>0</xdr:colOff>
      <xdr:row>176</xdr:row>
      <xdr:rowOff>0</xdr:rowOff>
    </xdr:to>
    <xdr:pic>
      <xdr:nvPicPr>
        <xdr:cNvPr id="13" name="图片 12"/>
        <xdr:cNvPicPr>
          <a:picLocks/>
        </xdr:cNvPicPr>
      </xdr:nvPicPr>
      <xdr:blipFill>
        <a:blip xmlns:r="http://schemas.openxmlformats.org/officeDocument/2006/relationships" r:embed="rId23" r:link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719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239</xdr:row>
      <xdr:rowOff>0</xdr:rowOff>
    </xdr:from>
    <xdr:to>
      <xdr:col>1</xdr:col>
      <xdr:colOff>0</xdr:colOff>
      <xdr:row>240</xdr:row>
      <xdr:rowOff>0</xdr:rowOff>
    </xdr:to>
    <xdr:pic>
      <xdr:nvPicPr>
        <xdr:cNvPr id="14" name="图片 13"/>
        <xdr:cNvPicPr>
          <a:picLocks/>
        </xdr:cNvPicPr>
      </xdr:nvPicPr>
      <xdr:blipFill>
        <a:blip xmlns:r="http://schemas.openxmlformats.org/officeDocument/2006/relationships" r:embed="rId25" r:link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6672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168</xdr:row>
      <xdr:rowOff>0</xdr:rowOff>
    </xdr:from>
    <xdr:to>
      <xdr:col>1</xdr:col>
      <xdr:colOff>0</xdr:colOff>
      <xdr:row>169</xdr:row>
      <xdr:rowOff>0</xdr:rowOff>
    </xdr:to>
    <xdr:pic>
      <xdr:nvPicPr>
        <xdr:cNvPr id="15" name="图片 14"/>
        <xdr:cNvPicPr>
          <a:picLocks/>
        </xdr:cNvPicPr>
      </xdr:nvPicPr>
      <xdr:blipFill>
        <a:blip xmlns:r="http://schemas.openxmlformats.org/officeDocument/2006/relationships" r:embed="rId27" r:link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625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174</xdr:row>
      <xdr:rowOff>0</xdr:rowOff>
    </xdr:from>
    <xdr:to>
      <xdr:col>1</xdr:col>
      <xdr:colOff>0</xdr:colOff>
      <xdr:row>175</xdr:row>
      <xdr:rowOff>0</xdr:rowOff>
    </xdr:to>
    <xdr:pic>
      <xdr:nvPicPr>
        <xdr:cNvPr id="16" name="图片 15"/>
        <xdr:cNvPicPr>
          <a:picLocks/>
        </xdr:cNvPicPr>
      </xdr:nvPicPr>
      <xdr:blipFill>
        <a:blip xmlns:r="http://schemas.openxmlformats.org/officeDocument/2006/relationships" r:embed="rId29" r:link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5530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120</xdr:row>
      <xdr:rowOff>0</xdr:rowOff>
    </xdr:from>
    <xdr:to>
      <xdr:col>1</xdr:col>
      <xdr:colOff>0</xdr:colOff>
      <xdr:row>121</xdr:row>
      <xdr:rowOff>0</xdr:rowOff>
    </xdr:to>
    <xdr:pic>
      <xdr:nvPicPr>
        <xdr:cNvPr id="17" name="图片 16"/>
        <xdr:cNvPicPr>
          <a:picLocks/>
        </xdr:cNvPicPr>
      </xdr:nvPicPr>
      <xdr:blipFill>
        <a:blip xmlns:r="http://schemas.openxmlformats.org/officeDocument/2006/relationships" r:embed="rId31" r:link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483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220</xdr:row>
      <xdr:rowOff>0</xdr:rowOff>
    </xdr:from>
    <xdr:to>
      <xdr:col>1</xdr:col>
      <xdr:colOff>0</xdr:colOff>
      <xdr:row>221</xdr:row>
      <xdr:rowOff>0</xdr:rowOff>
    </xdr:to>
    <xdr:pic>
      <xdr:nvPicPr>
        <xdr:cNvPr id="18" name="图片 17"/>
        <xdr:cNvPicPr>
          <a:picLocks/>
        </xdr:cNvPicPr>
      </xdr:nvPicPr>
      <xdr:blipFill>
        <a:blip xmlns:r="http://schemas.openxmlformats.org/officeDocument/2006/relationships" r:embed="rId33" r:link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436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</xdr:col>
      <xdr:colOff>0</xdr:colOff>
      <xdr:row>79</xdr:row>
      <xdr:rowOff>0</xdr:rowOff>
    </xdr:to>
    <xdr:pic>
      <xdr:nvPicPr>
        <xdr:cNvPr id="19" name="图片 18"/>
        <xdr:cNvPicPr>
          <a:picLocks/>
        </xdr:cNvPicPr>
      </xdr:nvPicPr>
      <xdr:blipFill>
        <a:blip xmlns:r="http://schemas.openxmlformats.org/officeDocument/2006/relationships" r:embed="rId35" r:link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389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237</xdr:row>
      <xdr:rowOff>0</xdr:rowOff>
    </xdr:from>
    <xdr:to>
      <xdr:col>1</xdr:col>
      <xdr:colOff>0</xdr:colOff>
      <xdr:row>238</xdr:row>
      <xdr:rowOff>0</xdr:rowOff>
    </xdr:to>
    <xdr:pic>
      <xdr:nvPicPr>
        <xdr:cNvPr id="20" name="图片 19"/>
        <xdr:cNvPicPr>
          <a:picLocks/>
        </xdr:cNvPicPr>
      </xdr:nvPicPr>
      <xdr:blipFill>
        <a:blip xmlns:r="http://schemas.openxmlformats.org/officeDocument/2006/relationships" r:embed="rId37" r:link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247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112</xdr:row>
      <xdr:rowOff>0</xdr:rowOff>
    </xdr:from>
    <xdr:to>
      <xdr:col>1</xdr:col>
      <xdr:colOff>0</xdr:colOff>
      <xdr:row>113</xdr:row>
      <xdr:rowOff>0</xdr:rowOff>
    </xdr:to>
    <xdr:pic>
      <xdr:nvPicPr>
        <xdr:cNvPr id="21" name="图片 20"/>
        <xdr:cNvPicPr>
          <a:picLocks/>
        </xdr:cNvPicPr>
      </xdr:nvPicPr>
      <xdr:blipFill>
        <a:blip xmlns:r="http://schemas.openxmlformats.org/officeDocument/2006/relationships" r:embed="rId39" r:link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00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0</xdr:colOff>
      <xdr:row>71</xdr:row>
      <xdr:rowOff>0</xdr:rowOff>
    </xdr:to>
    <xdr:pic>
      <xdr:nvPicPr>
        <xdr:cNvPr id="22" name="图片 21"/>
        <xdr:cNvPicPr>
          <a:picLocks/>
        </xdr:cNvPicPr>
      </xdr:nvPicPr>
      <xdr:blipFill>
        <a:blip xmlns:r="http://schemas.openxmlformats.org/officeDocument/2006/relationships" r:embed="rId41" r:link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9152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1</xdr:col>
      <xdr:colOff>0</xdr:colOff>
      <xdr:row>88</xdr:row>
      <xdr:rowOff>0</xdr:rowOff>
    </xdr:to>
    <xdr:pic>
      <xdr:nvPicPr>
        <xdr:cNvPr id="23" name="图片 22"/>
        <xdr:cNvPicPr>
          <a:picLocks/>
        </xdr:cNvPicPr>
      </xdr:nvPicPr>
      <xdr:blipFill>
        <a:blip xmlns:r="http://schemas.openxmlformats.org/officeDocument/2006/relationships" r:embed="rId43" r:link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105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183</xdr:row>
      <xdr:rowOff>0</xdr:rowOff>
    </xdr:from>
    <xdr:to>
      <xdr:col>1</xdr:col>
      <xdr:colOff>0</xdr:colOff>
      <xdr:row>184</xdr:row>
      <xdr:rowOff>0</xdr:rowOff>
    </xdr:to>
    <xdr:pic>
      <xdr:nvPicPr>
        <xdr:cNvPr id="24" name="图片 23"/>
        <xdr:cNvPicPr>
          <a:picLocks/>
        </xdr:cNvPicPr>
      </xdr:nvPicPr>
      <xdr:blipFill>
        <a:blip xmlns:r="http://schemas.openxmlformats.org/officeDocument/2006/relationships" r:embed="rId45" r:link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058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156</xdr:row>
      <xdr:rowOff>0</xdr:rowOff>
    </xdr:from>
    <xdr:to>
      <xdr:col>1</xdr:col>
      <xdr:colOff>0</xdr:colOff>
      <xdr:row>157</xdr:row>
      <xdr:rowOff>0</xdr:rowOff>
    </xdr:to>
    <xdr:pic>
      <xdr:nvPicPr>
        <xdr:cNvPr id="25" name="图片 24"/>
        <xdr:cNvPicPr>
          <a:picLocks/>
        </xdr:cNvPicPr>
      </xdr:nvPicPr>
      <xdr:blipFill>
        <a:blip xmlns:r="http://schemas.openxmlformats.org/officeDocument/2006/relationships" r:embed="rId47" r:link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8011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224</xdr:row>
      <xdr:rowOff>0</xdr:rowOff>
    </xdr:from>
    <xdr:to>
      <xdr:col>1</xdr:col>
      <xdr:colOff>0</xdr:colOff>
      <xdr:row>225</xdr:row>
      <xdr:rowOff>0</xdr:rowOff>
    </xdr:to>
    <xdr:pic>
      <xdr:nvPicPr>
        <xdr:cNvPr id="26" name="图片 25"/>
        <xdr:cNvPicPr>
          <a:picLocks/>
        </xdr:cNvPicPr>
      </xdr:nvPicPr>
      <xdr:blipFill>
        <a:blip xmlns:r="http://schemas.openxmlformats.org/officeDocument/2006/relationships" r:embed="rId49" r:link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0963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201</xdr:row>
      <xdr:rowOff>0</xdr:rowOff>
    </xdr:from>
    <xdr:to>
      <xdr:col>1</xdr:col>
      <xdr:colOff>0</xdr:colOff>
      <xdr:row>202</xdr:row>
      <xdr:rowOff>0</xdr:rowOff>
    </xdr:to>
    <xdr:pic>
      <xdr:nvPicPr>
        <xdr:cNvPr id="27" name="图片 26"/>
        <xdr:cNvPicPr>
          <a:picLocks/>
        </xdr:cNvPicPr>
      </xdr:nvPicPr>
      <xdr:blipFill>
        <a:blip xmlns:r="http://schemas.openxmlformats.org/officeDocument/2006/relationships" r:embed="rId51" r:link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916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151</xdr:row>
      <xdr:rowOff>0</xdr:rowOff>
    </xdr:from>
    <xdr:to>
      <xdr:col>1</xdr:col>
      <xdr:colOff>0</xdr:colOff>
      <xdr:row>152</xdr:row>
      <xdr:rowOff>0</xdr:rowOff>
    </xdr:to>
    <xdr:pic>
      <xdr:nvPicPr>
        <xdr:cNvPr id="28" name="图片 27"/>
        <xdr:cNvPicPr>
          <a:picLocks/>
        </xdr:cNvPicPr>
      </xdr:nvPicPr>
      <xdr:blipFill>
        <a:blip xmlns:r="http://schemas.openxmlformats.org/officeDocument/2006/relationships" r:embed="rId53" r:link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869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178</xdr:row>
      <xdr:rowOff>0</xdr:rowOff>
    </xdr:from>
    <xdr:to>
      <xdr:col>1</xdr:col>
      <xdr:colOff>0</xdr:colOff>
      <xdr:row>179</xdr:row>
      <xdr:rowOff>0</xdr:rowOff>
    </xdr:to>
    <xdr:pic>
      <xdr:nvPicPr>
        <xdr:cNvPr id="29" name="图片 28"/>
        <xdr:cNvPicPr>
          <a:picLocks/>
        </xdr:cNvPicPr>
      </xdr:nvPicPr>
      <xdr:blipFill>
        <a:blip xmlns:r="http://schemas.openxmlformats.org/officeDocument/2006/relationships" r:embed="rId55" r:link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8680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1</xdr:col>
      <xdr:colOff>0</xdr:colOff>
      <xdr:row>63</xdr:row>
      <xdr:rowOff>0</xdr:rowOff>
    </xdr:to>
    <xdr:pic>
      <xdr:nvPicPr>
        <xdr:cNvPr id="30" name="图片 29"/>
        <xdr:cNvPicPr>
          <a:picLocks/>
        </xdr:cNvPicPr>
      </xdr:nvPicPr>
      <xdr:blipFill>
        <a:blip xmlns:r="http://schemas.openxmlformats.org/officeDocument/2006/relationships" r:embed="rId57" r:link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1633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219</xdr:row>
      <xdr:rowOff>0</xdr:rowOff>
    </xdr:from>
    <xdr:to>
      <xdr:col>1</xdr:col>
      <xdr:colOff>0</xdr:colOff>
      <xdr:row>220</xdr:row>
      <xdr:rowOff>0</xdr:rowOff>
    </xdr:to>
    <xdr:pic>
      <xdr:nvPicPr>
        <xdr:cNvPr id="31" name="图片 30"/>
        <xdr:cNvPicPr>
          <a:picLocks/>
        </xdr:cNvPicPr>
      </xdr:nvPicPr>
      <xdr:blipFill>
        <a:blip xmlns:r="http://schemas.openxmlformats.org/officeDocument/2006/relationships" r:embed="rId59" r:link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4585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1</xdr:col>
      <xdr:colOff>0</xdr:colOff>
      <xdr:row>68</xdr:row>
      <xdr:rowOff>0</xdr:rowOff>
    </xdr:to>
    <xdr:pic>
      <xdr:nvPicPr>
        <xdr:cNvPr id="32" name="图片 31"/>
        <xdr:cNvPicPr>
          <a:picLocks/>
        </xdr:cNvPicPr>
      </xdr:nvPicPr>
      <xdr:blipFill>
        <a:blip xmlns:r="http://schemas.openxmlformats.org/officeDocument/2006/relationships" r:embed="rId61" r:link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7538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203</xdr:row>
      <xdr:rowOff>0</xdr:rowOff>
    </xdr:from>
    <xdr:to>
      <xdr:col>1</xdr:col>
      <xdr:colOff>0</xdr:colOff>
      <xdr:row>204</xdr:row>
      <xdr:rowOff>0</xdr:rowOff>
    </xdr:to>
    <xdr:pic>
      <xdr:nvPicPr>
        <xdr:cNvPr id="33" name="图片 32"/>
        <xdr:cNvPicPr>
          <a:picLocks/>
        </xdr:cNvPicPr>
      </xdr:nvPicPr>
      <xdr:blipFill>
        <a:blip xmlns:r="http://schemas.openxmlformats.org/officeDocument/2006/relationships" r:embed="rId63" r:link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0491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102</xdr:row>
      <xdr:rowOff>0</xdr:rowOff>
    </xdr:from>
    <xdr:to>
      <xdr:col>1</xdr:col>
      <xdr:colOff>0</xdr:colOff>
      <xdr:row>103</xdr:row>
      <xdr:rowOff>0</xdr:rowOff>
    </xdr:to>
    <xdr:pic>
      <xdr:nvPicPr>
        <xdr:cNvPr id="34" name="图片 33"/>
        <xdr:cNvPicPr>
          <a:picLocks/>
        </xdr:cNvPicPr>
      </xdr:nvPicPr>
      <xdr:blipFill>
        <a:blip xmlns:r="http://schemas.openxmlformats.org/officeDocument/2006/relationships" r:embed="rId65" r:link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3444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</xdr:col>
      <xdr:colOff>0</xdr:colOff>
      <xdr:row>237</xdr:row>
      <xdr:rowOff>0</xdr:rowOff>
    </xdr:to>
    <xdr:pic>
      <xdr:nvPicPr>
        <xdr:cNvPr id="35" name="图片 34"/>
        <xdr:cNvPicPr>
          <a:picLocks/>
        </xdr:cNvPicPr>
      </xdr:nvPicPr>
      <xdr:blipFill>
        <a:blip xmlns:r="http://schemas.openxmlformats.org/officeDocument/2006/relationships" r:embed="rId67" r:link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6396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1</xdr:col>
      <xdr:colOff>0</xdr:colOff>
      <xdr:row>72</xdr:row>
      <xdr:rowOff>0</xdr:rowOff>
    </xdr:to>
    <xdr:pic>
      <xdr:nvPicPr>
        <xdr:cNvPr id="36" name="图片 35"/>
        <xdr:cNvPicPr>
          <a:picLocks/>
        </xdr:cNvPicPr>
      </xdr:nvPicPr>
      <xdr:blipFill>
        <a:blip xmlns:r="http://schemas.openxmlformats.org/officeDocument/2006/relationships" r:embed="rId69" r:link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2302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161</xdr:row>
      <xdr:rowOff>0</xdr:rowOff>
    </xdr:from>
    <xdr:to>
      <xdr:col>1</xdr:col>
      <xdr:colOff>0</xdr:colOff>
      <xdr:row>162</xdr:row>
      <xdr:rowOff>0</xdr:rowOff>
    </xdr:to>
    <xdr:pic>
      <xdr:nvPicPr>
        <xdr:cNvPr id="37" name="图片 36"/>
        <xdr:cNvPicPr>
          <a:picLocks/>
        </xdr:cNvPicPr>
      </xdr:nvPicPr>
      <xdr:blipFill>
        <a:blip xmlns:r="http://schemas.openxmlformats.org/officeDocument/2006/relationships" r:embed="rId71" r:link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255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</xdr:col>
      <xdr:colOff>0</xdr:colOff>
      <xdr:row>64</xdr:row>
      <xdr:rowOff>0</xdr:rowOff>
    </xdr:to>
    <xdr:pic>
      <xdr:nvPicPr>
        <xdr:cNvPr id="38" name="图片 37"/>
        <xdr:cNvPicPr>
          <a:picLocks/>
        </xdr:cNvPicPr>
      </xdr:nvPicPr>
      <xdr:blipFill>
        <a:blip xmlns:r="http://schemas.openxmlformats.org/officeDocument/2006/relationships" r:embed="rId73" r:link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8207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154</xdr:row>
      <xdr:rowOff>0</xdr:rowOff>
    </xdr:from>
    <xdr:to>
      <xdr:col>1</xdr:col>
      <xdr:colOff>0</xdr:colOff>
      <xdr:row>155</xdr:row>
      <xdr:rowOff>0</xdr:rowOff>
    </xdr:to>
    <xdr:pic>
      <xdr:nvPicPr>
        <xdr:cNvPr id="39" name="图片 38"/>
        <xdr:cNvPicPr>
          <a:picLocks/>
        </xdr:cNvPicPr>
      </xdr:nvPicPr>
      <xdr:blipFill>
        <a:blip xmlns:r="http://schemas.openxmlformats.org/officeDocument/2006/relationships" r:embed="rId75" r:link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1160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1</xdr:col>
      <xdr:colOff>0</xdr:colOff>
      <xdr:row>87</xdr:row>
      <xdr:rowOff>0</xdr:rowOff>
    </xdr:to>
    <xdr:pic>
      <xdr:nvPicPr>
        <xdr:cNvPr id="40" name="图片 39"/>
        <xdr:cNvPicPr>
          <a:picLocks/>
        </xdr:cNvPicPr>
      </xdr:nvPicPr>
      <xdr:blipFill>
        <a:blip xmlns:r="http://schemas.openxmlformats.org/officeDocument/2006/relationships" r:embed="rId77" r:link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4113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1" name="图片 40"/>
        <xdr:cNvPicPr>
          <a:picLocks/>
        </xdr:cNvPicPr>
      </xdr:nvPicPr>
      <xdr:blipFill>
        <a:blip xmlns:r="http://schemas.openxmlformats.org/officeDocument/2006/relationships" r:embed="rId79" r:link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7066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</xdr:col>
      <xdr:colOff>0</xdr:colOff>
      <xdr:row>59</xdr:row>
      <xdr:rowOff>0</xdr:rowOff>
    </xdr:to>
    <xdr:pic>
      <xdr:nvPicPr>
        <xdr:cNvPr id="42" name="图片 41"/>
        <xdr:cNvPicPr>
          <a:picLocks/>
        </xdr:cNvPicPr>
      </xdr:nvPicPr>
      <xdr:blipFill>
        <a:blip xmlns:r="http://schemas.openxmlformats.org/officeDocument/2006/relationships" r:embed="rId81" r:link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1829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43" name="图片 42"/>
        <xdr:cNvPicPr>
          <a:picLocks/>
        </xdr:cNvPicPr>
      </xdr:nvPicPr>
      <xdr:blipFill>
        <a:blip xmlns:r="http://schemas.openxmlformats.org/officeDocument/2006/relationships" r:embed="rId83" r:link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0688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44" name="图片 43"/>
        <xdr:cNvPicPr>
          <a:picLocks/>
        </xdr:cNvPicPr>
      </xdr:nvPicPr>
      <xdr:blipFill>
        <a:blip xmlns:r="http://schemas.openxmlformats.org/officeDocument/2006/relationships" r:embed="rId85" r:link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3640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1</xdr:col>
      <xdr:colOff>0</xdr:colOff>
      <xdr:row>81</xdr:row>
      <xdr:rowOff>0</xdr:rowOff>
    </xdr:to>
    <xdr:pic>
      <xdr:nvPicPr>
        <xdr:cNvPr id="45" name="图片 44"/>
        <xdr:cNvPicPr>
          <a:picLocks/>
        </xdr:cNvPicPr>
      </xdr:nvPicPr>
      <xdr:blipFill>
        <a:blip xmlns:r="http://schemas.openxmlformats.org/officeDocument/2006/relationships" r:embed="rId87" r:link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6593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206</xdr:row>
      <xdr:rowOff>0</xdr:rowOff>
    </xdr:from>
    <xdr:to>
      <xdr:col>1</xdr:col>
      <xdr:colOff>0</xdr:colOff>
      <xdr:row>207</xdr:row>
      <xdr:rowOff>0</xdr:rowOff>
    </xdr:to>
    <xdr:pic>
      <xdr:nvPicPr>
        <xdr:cNvPr id="46" name="图片 45"/>
        <xdr:cNvPicPr>
          <a:picLocks/>
        </xdr:cNvPicPr>
      </xdr:nvPicPr>
      <xdr:blipFill>
        <a:blip xmlns:r="http://schemas.openxmlformats.org/officeDocument/2006/relationships" r:embed="rId89" r:link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2499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143</xdr:row>
      <xdr:rowOff>0</xdr:rowOff>
    </xdr:from>
    <xdr:to>
      <xdr:col>1</xdr:col>
      <xdr:colOff>0</xdr:colOff>
      <xdr:row>144</xdr:row>
      <xdr:rowOff>0</xdr:rowOff>
    </xdr:to>
    <xdr:pic>
      <xdr:nvPicPr>
        <xdr:cNvPr id="47" name="图片 46"/>
        <xdr:cNvPicPr>
          <a:picLocks/>
        </xdr:cNvPicPr>
      </xdr:nvPicPr>
      <xdr:blipFill>
        <a:blip xmlns:r="http://schemas.openxmlformats.org/officeDocument/2006/relationships" r:embed="rId91" r:link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451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1</xdr:col>
      <xdr:colOff>0</xdr:colOff>
      <xdr:row>80</xdr:row>
      <xdr:rowOff>0</xdr:rowOff>
    </xdr:to>
    <xdr:pic>
      <xdr:nvPicPr>
        <xdr:cNvPr id="48" name="图片 47"/>
        <xdr:cNvPicPr>
          <a:picLocks/>
        </xdr:cNvPicPr>
      </xdr:nvPicPr>
      <xdr:blipFill>
        <a:blip xmlns:r="http://schemas.openxmlformats.org/officeDocument/2006/relationships" r:embed="rId93" r:link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8404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49" name="图片 48"/>
        <xdr:cNvPicPr>
          <a:picLocks/>
        </xdr:cNvPicPr>
      </xdr:nvPicPr>
      <xdr:blipFill>
        <a:blip xmlns:r="http://schemas.openxmlformats.org/officeDocument/2006/relationships" r:embed="rId95" r:link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1357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119</xdr:row>
      <xdr:rowOff>0</xdr:rowOff>
    </xdr:from>
    <xdr:to>
      <xdr:col>1</xdr:col>
      <xdr:colOff>0</xdr:colOff>
      <xdr:row>120</xdr:row>
      <xdr:rowOff>0</xdr:rowOff>
    </xdr:to>
    <xdr:pic>
      <xdr:nvPicPr>
        <xdr:cNvPr id="50" name="图片 49"/>
        <xdr:cNvPicPr>
          <a:picLocks/>
        </xdr:cNvPicPr>
      </xdr:nvPicPr>
      <xdr:blipFill>
        <a:blip xmlns:r="http://schemas.openxmlformats.org/officeDocument/2006/relationships" r:embed="rId97" r:link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7262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149</xdr:row>
      <xdr:rowOff>0</xdr:rowOff>
    </xdr:from>
    <xdr:to>
      <xdr:col>1</xdr:col>
      <xdr:colOff>0</xdr:colOff>
      <xdr:row>150</xdr:row>
      <xdr:rowOff>0</xdr:rowOff>
    </xdr:to>
    <xdr:pic>
      <xdr:nvPicPr>
        <xdr:cNvPr id="51" name="图片 50"/>
        <xdr:cNvPicPr>
          <a:picLocks/>
        </xdr:cNvPicPr>
      </xdr:nvPicPr>
      <xdr:blipFill>
        <a:blip xmlns:r="http://schemas.openxmlformats.org/officeDocument/2006/relationships" r:embed="rId99" r:link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215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1</xdr:col>
      <xdr:colOff>0</xdr:colOff>
      <xdr:row>101</xdr:row>
      <xdr:rowOff>0</xdr:rowOff>
    </xdr:to>
    <xdr:pic>
      <xdr:nvPicPr>
        <xdr:cNvPr id="52" name="图片 51"/>
        <xdr:cNvPicPr>
          <a:picLocks/>
        </xdr:cNvPicPr>
      </xdr:nvPicPr>
      <xdr:blipFill>
        <a:blip xmlns:r="http://schemas.openxmlformats.org/officeDocument/2006/relationships" r:embed="rId101" r:link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3168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53" name="图片 52"/>
        <xdr:cNvPicPr>
          <a:picLocks/>
        </xdr:cNvPicPr>
      </xdr:nvPicPr>
      <xdr:blipFill>
        <a:blip xmlns:r="http://schemas.openxmlformats.org/officeDocument/2006/relationships" r:embed="rId103" r:link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6121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131</xdr:row>
      <xdr:rowOff>0</xdr:rowOff>
    </xdr:from>
    <xdr:to>
      <xdr:col>1</xdr:col>
      <xdr:colOff>0</xdr:colOff>
      <xdr:row>132</xdr:row>
      <xdr:rowOff>0</xdr:rowOff>
    </xdr:to>
    <xdr:pic>
      <xdr:nvPicPr>
        <xdr:cNvPr id="54" name="图片 53"/>
        <xdr:cNvPicPr>
          <a:picLocks/>
        </xdr:cNvPicPr>
      </xdr:nvPicPr>
      <xdr:blipFill>
        <a:blip xmlns:r="http://schemas.openxmlformats.org/officeDocument/2006/relationships" r:embed="rId105" r:link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2026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</xdr:col>
      <xdr:colOff>0</xdr:colOff>
      <xdr:row>98</xdr:row>
      <xdr:rowOff>0</xdr:rowOff>
    </xdr:to>
    <xdr:pic>
      <xdr:nvPicPr>
        <xdr:cNvPr id="55" name="图片 54"/>
        <xdr:cNvPicPr>
          <a:picLocks/>
        </xdr:cNvPicPr>
      </xdr:nvPicPr>
      <xdr:blipFill>
        <a:blip xmlns:r="http://schemas.openxmlformats.org/officeDocument/2006/relationships" r:embed="rId107" r:link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4979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182</xdr:row>
      <xdr:rowOff>0</xdr:rowOff>
    </xdr:from>
    <xdr:to>
      <xdr:col>1</xdr:col>
      <xdr:colOff>0</xdr:colOff>
      <xdr:row>183</xdr:row>
      <xdr:rowOff>0</xdr:rowOff>
    </xdr:to>
    <xdr:pic>
      <xdr:nvPicPr>
        <xdr:cNvPr id="56" name="图片 55"/>
        <xdr:cNvPicPr>
          <a:picLocks/>
        </xdr:cNvPicPr>
      </xdr:nvPicPr>
      <xdr:blipFill>
        <a:blip xmlns:r="http://schemas.openxmlformats.org/officeDocument/2006/relationships" r:embed="rId109" r:link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0884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</xdr:col>
      <xdr:colOff>0</xdr:colOff>
      <xdr:row>95</xdr:row>
      <xdr:rowOff>0</xdr:rowOff>
    </xdr:to>
    <xdr:pic>
      <xdr:nvPicPr>
        <xdr:cNvPr id="57" name="图片 56"/>
        <xdr:cNvPicPr>
          <a:picLocks/>
        </xdr:cNvPicPr>
      </xdr:nvPicPr>
      <xdr:blipFill>
        <a:blip xmlns:r="http://schemas.openxmlformats.org/officeDocument/2006/relationships" r:embed="rId111" r:link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6790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190</xdr:row>
      <xdr:rowOff>0</xdr:rowOff>
    </xdr:from>
    <xdr:to>
      <xdr:col>1</xdr:col>
      <xdr:colOff>0</xdr:colOff>
      <xdr:row>191</xdr:row>
      <xdr:rowOff>0</xdr:rowOff>
    </xdr:to>
    <xdr:pic>
      <xdr:nvPicPr>
        <xdr:cNvPr id="58" name="图片 57"/>
        <xdr:cNvPicPr>
          <a:picLocks/>
        </xdr:cNvPicPr>
      </xdr:nvPicPr>
      <xdr:blipFill>
        <a:blip xmlns:r="http://schemas.openxmlformats.org/officeDocument/2006/relationships" r:embed="rId113" r:link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9743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114</xdr:row>
      <xdr:rowOff>0</xdr:rowOff>
    </xdr:from>
    <xdr:to>
      <xdr:col>1</xdr:col>
      <xdr:colOff>0</xdr:colOff>
      <xdr:row>115</xdr:row>
      <xdr:rowOff>0</xdr:rowOff>
    </xdr:to>
    <xdr:pic>
      <xdr:nvPicPr>
        <xdr:cNvPr id="59" name="图片 58"/>
        <xdr:cNvPicPr>
          <a:picLocks/>
        </xdr:cNvPicPr>
      </xdr:nvPicPr>
      <xdr:blipFill>
        <a:blip xmlns:r="http://schemas.openxmlformats.org/officeDocument/2006/relationships" r:embed="rId115" r:link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2695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141</xdr:row>
      <xdr:rowOff>0</xdr:rowOff>
    </xdr:from>
    <xdr:to>
      <xdr:col>1</xdr:col>
      <xdr:colOff>0</xdr:colOff>
      <xdr:row>142</xdr:row>
      <xdr:rowOff>0</xdr:rowOff>
    </xdr:to>
    <xdr:pic>
      <xdr:nvPicPr>
        <xdr:cNvPr id="60" name="图片 59"/>
        <xdr:cNvPicPr>
          <a:picLocks/>
        </xdr:cNvPicPr>
      </xdr:nvPicPr>
      <xdr:blipFill>
        <a:blip xmlns:r="http://schemas.openxmlformats.org/officeDocument/2006/relationships" r:embed="rId117" r:link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5648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139</xdr:row>
      <xdr:rowOff>0</xdr:rowOff>
    </xdr:from>
    <xdr:to>
      <xdr:col>1</xdr:col>
      <xdr:colOff>0</xdr:colOff>
      <xdr:row>140</xdr:row>
      <xdr:rowOff>0</xdr:rowOff>
    </xdr:to>
    <xdr:pic>
      <xdr:nvPicPr>
        <xdr:cNvPr id="61" name="图片 60"/>
        <xdr:cNvPicPr>
          <a:picLocks/>
        </xdr:cNvPicPr>
      </xdr:nvPicPr>
      <xdr:blipFill>
        <a:blip xmlns:r="http://schemas.openxmlformats.org/officeDocument/2006/relationships" r:embed="rId119" r:link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8601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62" name="图片 61"/>
        <xdr:cNvPicPr>
          <a:picLocks/>
        </xdr:cNvPicPr>
      </xdr:nvPicPr>
      <xdr:blipFill>
        <a:blip xmlns:r="http://schemas.openxmlformats.org/officeDocument/2006/relationships" r:embed="rId121" r:link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1554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1</xdr:col>
      <xdr:colOff>0</xdr:colOff>
      <xdr:row>85</xdr:row>
      <xdr:rowOff>0</xdr:rowOff>
    </xdr:to>
    <xdr:pic>
      <xdr:nvPicPr>
        <xdr:cNvPr id="63" name="图片 62"/>
        <xdr:cNvPicPr>
          <a:picLocks/>
        </xdr:cNvPicPr>
      </xdr:nvPicPr>
      <xdr:blipFill>
        <a:blip xmlns:r="http://schemas.openxmlformats.org/officeDocument/2006/relationships" r:embed="rId123" r:link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4506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223</xdr:row>
      <xdr:rowOff>0</xdr:rowOff>
    </xdr:from>
    <xdr:to>
      <xdr:col>1</xdr:col>
      <xdr:colOff>0</xdr:colOff>
      <xdr:row>224</xdr:row>
      <xdr:rowOff>0</xdr:rowOff>
    </xdr:to>
    <xdr:pic>
      <xdr:nvPicPr>
        <xdr:cNvPr id="64" name="图片 63"/>
        <xdr:cNvPicPr>
          <a:picLocks/>
        </xdr:cNvPicPr>
      </xdr:nvPicPr>
      <xdr:blipFill>
        <a:blip xmlns:r="http://schemas.openxmlformats.org/officeDocument/2006/relationships" r:embed="rId125" r:link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0412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1</xdr:col>
      <xdr:colOff>0</xdr:colOff>
      <xdr:row>83</xdr:row>
      <xdr:rowOff>0</xdr:rowOff>
    </xdr:to>
    <xdr:pic>
      <xdr:nvPicPr>
        <xdr:cNvPr id="65" name="图片 64"/>
        <xdr:cNvPicPr>
          <a:picLocks/>
        </xdr:cNvPicPr>
      </xdr:nvPicPr>
      <xdr:blipFill>
        <a:blip xmlns:r="http://schemas.openxmlformats.org/officeDocument/2006/relationships" r:embed="rId127" r:link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6317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66" name="图片 65"/>
        <xdr:cNvPicPr>
          <a:picLocks/>
        </xdr:cNvPicPr>
      </xdr:nvPicPr>
      <xdr:blipFill>
        <a:blip xmlns:r="http://schemas.openxmlformats.org/officeDocument/2006/relationships" r:embed="rId129" r:link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9270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214</xdr:row>
      <xdr:rowOff>0</xdr:rowOff>
    </xdr:from>
    <xdr:to>
      <xdr:col>1</xdr:col>
      <xdr:colOff>0</xdr:colOff>
      <xdr:row>215</xdr:row>
      <xdr:rowOff>0</xdr:rowOff>
    </xdr:to>
    <xdr:pic>
      <xdr:nvPicPr>
        <xdr:cNvPr id="67" name="图片 66"/>
        <xdr:cNvPicPr>
          <a:picLocks/>
        </xdr:cNvPicPr>
      </xdr:nvPicPr>
      <xdr:blipFill>
        <a:blip xmlns:r="http://schemas.openxmlformats.org/officeDocument/2006/relationships" r:embed="rId131" r:link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176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210</xdr:row>
      <xdr:rowOff>0</xdr:rowOff>
    </xdr:from>
    <xdr:to>
      <xdr:col>1</xdr:col>
      <xdr:colOff>0</xdr:colOff>
      <xdr:row>211</xdr:row>
      <xdr:rowOff>0</xdr:rowOff>
    </xdr:to>
    <xdr:pic>
      <xdr:nvPicPr>
        <xdr:cNvPr id="68" name="图片 67"/>
        <xdr:cNvPicPr>
          <a:picLocks/>
        </xdr:cNvPicPr>
      </xdr:nvPicPr>
      <xdr:blipFill>
        <a:blip xmlns:r="http://schemas.openxmlformats.org/officeDocument/2006/relationships" r:embed="rId133" r:link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8128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69" name="图片 68"/>
        <xdr:cNvPicPr>
          <a:picLocks/>
        </xdr:cNvPicPr>
      </xdr:nvPicPr>
      <xdr:blipFill>
        <a:blip xmlns:r="http://schemas.openxmlformats.org/officeDocument/2006/relationships" r:embed="rId135" r:link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1081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127</xdr:row>
      <xdr:rowOff>0</xdr:rowOff>
    </xdr:from>
    <xdr:to>
      <xdr:col>1</xdr:col>
      <xdr:colOff>0</xdr:colOff>
      <xdr:row>128</xdr:row>
      <xdr:rowOff>0</xdr:rowOff>
    </xdr:to>
    <xdr:pic>
      <xdr:nvPicPr>
        <xdr:cNvPr id="70" name="图片 69"/>
        <xdr:cNvPicPr>
          <a:picLocks/>
        </xdr:cNvPicPr>
      </xdr:nvPicPr>
      <xdr:blipFill>
        <a:blip xmlns:r="http://schemas.openxmlformats.org/officeDocument/2006/relationships" r:embed="rId137" r:link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6987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71" name="图片 70"/>
        <xdr:cNvPicPr>
          <a:picLocks/>
        </xdr:cNvPicPr>
      </xdr:nvPicPr>
      <xdr:blipFill>
        <a:blip xmlns:r="http://schemas.openxmlformats.org/officeDocument/2006/relationships" r:embed="rId139" r:link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9939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124</xdr:row>
      <xdr:rowOff>0</xdr:rowOff>
    </xdr:from>
    <xdr:to>
      <xdr:col>1</xdr:col>
      <xdr:colOff>0</xdr:colOff>
      <xdr:row>125</xdr:row>
      <xdr:rowOff>0</xdr:rowOff>
    </xdr:to>
    <xdr:pic>
      <xdr:nvPicPr>
        <xdr:cNvPr id="72" name="图片 71"/>
        <xdr:cNvPicPr>
          <a:picLocks/>
        </xdr:cNvPicPr>
      </xdr:nvPicPr>
      <xdr:blipFill>
        <a:blip xmlns:r="http://schemas.openxmlformats.org/officeDocument/2006/relationships" r:embed="rId141" r:link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2892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198</xdr:row>
      <xdr:rowOff>0</xdr:rowOff>
    </xdr:from>
    <xdr:to>
      <xdr:col>1</xdr:col>
      <xdr:colOff>0</xdr:colOff>
      <xdr:row>199</xdr:row>
      <xdr:rowOff>0</xdr:rowOff>
    </xdr:to>
    <xdr:pic>
      <xdr:nvPicPr>
        <xdr:cNvPr id="73" name="图片 72"/>
        <xdr:cNvPicPr>
          <a:picLocks/>
        </xdr:cNvPicPr>
      </xdr:nvPicPr>
      <xdr:blipFill>
        <a:blip xmlns:r="http://schemas.openxmlformats.org/officeDocument/2006/relationships" r:embed="rId143" r:link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845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135</xdr:row>
      <xdr:rowOff>0</xdr:rowOff>
    </xdr:from>
    <xdr:to>
      <xdr:col>1</xdr:col>
      <xdr:colOff>0</xdr:colOff>
      <xdr:row>136</xdr:row>
      <xdr:rowOff>0</xdr:rowOff>
    </xdr:to>
    <xdr:pic>
      <xdr:nvPicPr>
        <xdr:cNvPr id="74" name="图片 73"/>
        <xdr:cNvPicPr>
          <a:picLocks/>
        </xdr:cNvPicPr>
      </xdr:nvPicPr>
      <xdr:blipFill>
        <a:blip xmlns:r="http://schemas.openxmlformats.org/officeDocument/2006/relationships" r:embed="rId145" r:link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8798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75" name="图片 74"/>
        <xdr:cNvPicPr>
          <a:picLocks/>
        </xdr:cNvPicPr>
      </xdr:nvPicPr>
      <xdr:blipFill>
        <a:blip xmlns:r="http://schemas.openxmlformats.org/officeDocument/2006/relationships" r:embed="rId147" r:link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7656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76" name="图片 75"/>
        <xdr:cNvPicPr>
          <a:picLocks/>
        </xdr:cNvPicPr>
      </xdr:nvPicPr>
      <xdr:blipFill>
        <a:blip xmlns:r="http://schemas.openxmlformats.org/officeDocument/2006/relationships" r:embed="rId149" r:link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3561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188</xdr:row>
      <xdr:rowOff>0</xdr:rowOff>
    </xdr:from>
    <xdr:to>
      <xdr:col>1</xdr:col>
      <xdr:colOff>0</xdr:colOff>
      <xdr:row>189</xdr:row>
      <xdr:rowOff>0</xdr:rowOff>
    </xdr:to>
    <xdr:pic>
      <xdr:nvPicPr>
        <xdr:cNvPr id="77" name="图片 76"/>
        <xdr:cNvPicPr>
          <a:picLocks/>
        </xdr:cNvPicPr>
      </xdr:nvPicPr>
      <xdr:blipFill>
        <a:blip xmlns:r="http://schemas.openxmlformats.org/officeDocument/2006/relationships" r:embed="rId151" r:link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6514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78" name="图片 77"/>
        <xdr:cNvPicPr>
          <a:picLocks/>
        </xdr:cNvPicPr>
      </xdr:nvPicPr>
      <xdr:blipFill>
        <a:blip xmlns:r="http://schemas.openxmlformats.org/officeDocument/2006/relationships" r:embed="rId153" r:link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2420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105</xdr:row>
      <xdr:rowOff>0</xdr:rowOff>
    </xdr:from>
    <xdr:to>
      <xdr:col>1</xdr:col>
      <xdr:colOff>0</xdr:colOff>
      <xdr:row>106</xdr:row>
      <xdr:rowOff>0</xdr:rowOff>
    </xdr:to>
    <xdr:pic>
      <xdr:nvPicPr>
        <xdr:cNvPr id="79" name="图片 78"/>
        <xdr:cNvPicPr>
          <a:picLocks/>
        </xdr:cNvPicPr>
      </xdr:nvPicPr>
      <xdr:blipFill>
        <a:blip xmlns:r="http://schemas.openxmlformats.org/officeDocument/2006/relationships" r:embed="rId155" r:link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5372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80" name="图片 79"/>
        <xdr:cNvPicPr>
          <a:picLocks/>
        </xdr:cNvPicPr>
      </xdr:nvPicPr>
      <xdr:blipFill>
        <a:blip xmlns:r="http://schemas.openxmlformats.org/officeDocument/2006/relationships" r:embed="rId157" r:link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8325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191</xdr:row>
      <xdr:rowOff>0</xdr:rowOff>
    </xdr:from>
    <xdr:to>
      <xdr:col>1</xdr:col>
      <xdr:colOff>0</xdr:colOff>
      <xdr:row>192</xdr:row>
      <xdr:rowOff>0</xdr:rowOff>
    </xdr:to>
    <xdr:pic>
      <xdr:nvPicPr>
        <xdr:cNvPr id="81" name="图片 80"/>
        <xdr:cNvPicPr>
          <a:picLocks/>
        </xdr:cNvPicPr>
      </xdr:nvPicPr>
      <xdr:blipFill>
        <a:blip xmlns:r="http://schemas.openxmlformats.org/officeDocument/2006/relationships" r:embed="rId159" r:link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4231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207</xdr:row>
      <xdr:rowOff>0</xdr:rowOff>
    </xdr:from>
    <xdr:to>
      <xdr:col>1</xdr:col>
      <xdr:colOff>0</xdr:colOff>
      <xdr:row>208</xdr:row>
      <xdr:rowOff>0</xdr:rowOff>
    </xdr:to>
    <xdr:pic>
      <xdr:nvPicPr>
        <xdr:cNvPr id="82" name="图片 81"/>
        <xdr:cNvPicPr>
          <a:picLocks/>
        </xdr:cNvPicPr>
      </xdr:nvPicPr>
      <xdr:blipFill>
        <a:blip xmlns:r="http://schemas.openxmlformats.org/officeDocument/2006/relationships" r:embed="rId161" r:link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0136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83" name="图片 82"/>
        <xdr:cNvPicPr>
          <a:picLocks/>
        </xdr:cNvPicPr>
      </xdr:nvPicPr>
      <xdr:blipFill>
        <a:blip xmlns:r="http://schemas.openxmlformats.org/officeDocument/2006/relationships" r:embed="rId163" r:link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3089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227</xdr:row>
      <xdr:rowOff>0</xdr:rowOff>
    </xdr:from>
    <xdr:to>
      <xdr:col>1</xdr:col>
      <xdr:colOff>0</xdr:colOff>
      <xdr:row>228</xdr:row>
      <xdr:rowOff>0</xdr:rowOff>
    </xdr:to>
    <xdr:pic>
      <xdr:nvPicPr>
        <xdr:cNvPr id="84" name="图片 83"/>
        <xdr:cNvPicPr>
          <a:picLocks/>
        </xdr:cNvPicPr>
      </xdr:nvPicPr>
      <xdr:blipFill>
        <a:blip xmlns:r="http://schemas.openxmlformats.org/officeDocument/2006/relationships" r:embed="rId165" r:link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6042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117</xdr:row>
      <xdr:rowOff>0</xdr:rowOff>
    </xdr:from>
    <xdr:to>
      <xdr:col>1</xdr:col>
      <xdr:colOff>0</xdr:colOff>
      <xdr:row>118</xdr:row>
      <xdr:rowOff>0</xdr:rowOff>
    </xdr:to>
    <xdr:pic>
      <xdr:nvPicPr>
        <xdr:cNvPr id="85" name="图片 84"/>
        <xdr:cNvPicPr>
          <a:picLocks/>
        </xdr:cNvPicPr>
      </xdr:nvPicPr>
      <xdr:blipFill>
        <a:blip xmlns:r="http://schemas.openxmlformats.org/officeDocument/2006/relationships" r:embed="rId167" r:link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1947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86" name="图片 85"/>
        <xdr:cNvPicPr>
          <a:picLocks/>
        </xdr:cNvPicPr>
      </xdr:nvPicPr>
      <xdr:blipFill>
        <a:blip xmlns:r="http://schemas.openxmlformats.org/officeDocument/2006/relationships" r:embed="rId169" r:link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4900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87" name="图片 86"/>
        <xdr:cNvPicPr>
          <a:picLocks/>
        </xdr:cNvPicPr>
      </xdr:nvPicPr>
      <xdr:blipFill>
        <a:blip xmlns:r="http://schemas.openxmlformats.org/officeDocument/2006/relationships" r:embed="rId171" r:link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7853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126</xdr:row>
      <xdr:rowOff>0</xdr:rowOff>
    </xdr:from>
    <xdr:to>
      <xdr:col>1</xdr:col>
      <xdr:colOff>0</xdr:colOff>
      <xdr:row>127</xdr:row>
      <xdr:rowOff>0</xdr:rowOff>
    </xdr:to>
    <xdr:pic>
      <xdr:nvPicPr>
        <xdr:cNvPr id="88" name="图片 87"/>
        <xdr:cNvPicPr>
          <a:picLocks/>
        </xdr:cNvPicPr>
      </xdr:nvPicPr>
      <xdr:blipFill>
        <a:blip xmlns:r="http://schemas.openxmlformats.org/officeDocument/2006/relationships" r:embed="rId173" r:link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0805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242</xdr:row>
      <xdr:rowOff>0</xdr:rowOff>
    </xdr:from>
    <xdr:to>
      <xdr:col>1</xdr:col>
      <xdr:colOff>0</xdr:colOff>
      <xdr:row>243</xdr:row>
      <xdr:rowOff>0</xdr:rowOff>
    </xdr:to>
    <xdr:pic>
      <xdr:nvPicPr>
        <xdr:cNvPr id="89" name="图片 88"/>
        <xdr:cNvPicPr>
          <a:picLocks/>
        </xdr:cNvPicPr>
      </xdr:nvPicPr>
      <xdr:blipFill>
        <a:blip xmlns:r="http://schemas.openxmlformats.org/officeDocument/2006/relationships" r:embed="rId175" r:link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6711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90" name="图片 89"/>
        <xdr:cNvPicPr>
          <a:picLocks/>
        </xdr:cNvPicPr>
      </xdr:nvPicPr>
      <xdr:blipFill>
        <a:blip xmlns:r="http://schemas.openxmlformats.org/officeDocument/2006/relationships" r:embed="rId177" r:link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9664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1</xdr:col>
      <xdr:colOff>0</xdr:colOff>
      <xdr:row>58</xdr:row>
      <xdr:rowOff>0</xdr:rowOff>
    </xdr:to>
    <xdr:pic>
      <xdr:nvPicPr>
        <xdr:cNvPr id="91" name="图片 90"/>
        <xdr:cNvPicPr>
          <a:picLocks/>
        </xdr:cNvPicPr>
      </xdr:nvPicPr>
      <xdr:blipFill>
        <a:blip xmlns:r="http://schemas.openxmlformats.org/officeDocument/2006/relationships" r:embed="rId179" r:link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616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184</xdr:row>
      <xdr:rowOff>0</xdr:rowOff>
    </xdr:from>
    <xdr:to>
      <xdr:col>1</xdr:col>
      <xdr:colOff>0</xdr:colOff>
      <xdr:row>185</xdr:row>
      <xdr:rowOff>0</xdr:rowOff>
    </xdr:to>
    <xdr:pic>
      <xdr:nvPicPr>
        <xdr:cNvPr id="92" name="图片 91"/>
        <xdr:cNvPicPr>
          <a:picLocks/>
        </xdr:cNvPicPr>
      </xdr:nvPicPr>
      <xdr:blipFill>
        <a:blip xmlns:r="http://schemas.openxmlformats.org/officeDocument/2006/relationships" r:embed="rId181" r:link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5569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</xdr:col>
      <xdr:colOff>0</xdr:colOff>
      <xdr:row>93</xdr:row>
      <xdr:rowOff>0</xdr:rowOff>
    </xdr:to>
    <xdr:pic>
      <xdr:nvPicPr>
        <xdr:cNvPr id="93" name="图片 92"/>
        <xdr:cNvPicPr>
          <a:picLocks/>
        </xdr:cNvPicPr>
      </xdr:nvPicPr>
      <xdr:blipFill>
        <a:blip xmlns:r="http://schemas.openxmlformats.org/officeDocument/2006/relationships" r:embed="rId183" r:link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4427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222</xdr:row>
      <xdr:rowOff>0</xdr:rowOff>
    </xdr:from>
    <xdr:to>
      <xdr:col>1</xdr:col>
      <xdr:colOff>0</xdr:colOff>
      <xdr:row>223</xdr:row>
      <xdr:rowOff>0</xdr:rowOff>
    </xdr:to>
    <xdr:pic>
      <xdr:nvPicPr>
        <xdr:cNvPr id="94" name="图片 93"/>
        <xdr:cNvPicPr>
          <a:picLocks/>
        </xdr:cNvPicPr>
      </xdr:nvPicPr>
      <xdr:blipFill>
        <a:blip xmlns:r="http://schemas.openxmlformats.org/officeDocument/2006/relationships" r:embed="rId185" r:link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7380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189</xdr:row>
      <xdr:rowOff>0</xdr:rowOff>
    </xdr:from>
    <xdr:to>
      <xdr:col>1</xdr:col>
      <xdr:colOff>0</xdr:colOff>
      <xdr:row>190</xdr:row>
      <xdr:rowOff>0</xdr:rowOff>
    </xdr:to>
    <xdr:pic>
      <xdr:nvPicPr>
        <xdr:cNvPr id="95" name="图片 94"/>
        <xdr:cNvPicPr>
          <a:picLocks/>
        </xdr:cNvPicPr>
      </xdr:nvPicPr>
      <xdr:blipFill>
        <a:blip xmlns:r="http://schemas.openxmlformats.org/officeDocument/2006/relationships" r:embed="rId187" r:link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6238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122</xdr:row>
      <xdr:rowOff>0</xdr:rowOff>
    </xdr:from>
    <xdr:to>
      <xdr:col>1</xdr:col>
      <xdr:colOff>0</xdr:colOff>
      <xdr:row>123</xdr:row>
      <xdr:rowOff>0</xdr:rowOff>
    </xdr:to>
    <xdr:pic>
      <xdr:nvPicPr>
        <xdr:cNvPr id="96" name="图片 95"/>
        <xdr:cNvPicPr>
          <a:picLocks/>
        </xdr:cNvPicPr>
      </xdr:nvPicPr>
      <xdr:blipFill>
        <a:blip xmlns:r="http://schemas.openxmlformats.org/officeDocument/2006/relationships" r:embed="rId189" r:link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9191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140</xdr:row>
      <xdr:rowOff>0</xdr:rowOff>
    </xdr:from>
    <xdr:to>
      <xdr:col>1</xdr:col>
      <xdr:colOff>0</xdr:colOff>
      <xdr:row>141</xdr:row>
      <xdr:rowOff>0</xdr:rowOff>
    </xdr:to>
    <xdr:pic>
      <xdr:nvPicPr>
        <xdr:cNvPr id="97" name="图片 96"/>
        <xdr:cNvPicPr>
          <a:picLocks/>
        </xdr:cNvPicPr>
      </xdr:nvPicPr>
      <xdr:blipFill>
        <a:blip xmlns:r="http://schemas.openxmlformats.org/officeDocument/2006/relationships" r:embed="rId191" r:link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2144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98" name="图片 97"/>
        <xdr:cNvPicPr>
          <a:picLocks/>
        </xdr:cNvPicPr>
      </xdr:nvPicPr>
      <xdr:blipFill>
        <a:blip xmlns:r="http://schemas.openxmlformats.org/officeDocument/2006/relationships" r:embed="rId193" r:link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5097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0</xdr:rowOff>
    </xdr:from>
    <xdr:to>
      <xdr:col>1</xdr:col>
      <xdr:colOff>0</xdr:colOff>
      <xdr:row>135</xdr:row>
      <xdr:rowOff>0</xdr:rowOff>
    </xdr:to>
    <xdr:pic>
      <xdr:nvPicPr>
        <xdr:cNvPr id="99" name="图片 98"/>
        <xdr:cNvPicPr>
          <a:picLocks/>
        </xdr:cNvPicPr>
      </xdr:nvPicPr>
      <xdr:blipFill>
        <a:blip xmlns:r="http://schemas.openxmlformats.org/officeDocument/2006/relationships" r:embed="rId195" r:link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8049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170</xdr:row>
      <xdr:rowOff>0</xdr:rowOff>
    </xdr:from>
    <xdr:to>
      <xdr:col>1</xdr:col>
      <xdr:colOff>0</xdr:colOff>
      <xdr:row>171</xdr:row>
      <xdr:rowOff>0</xdr:rowOff>
    </xdr:to>
    <xdr:pic>
      <xdr:nvPicPr>
        <xdr:cNvPr id="100" name="图片 99"/>
        <xdr:cNvPicPr>
          <a:picLocks/>
        </xdr:cNvPicPr>
      </xdr:nvPicPr>
      <xdr:blipFill>
        <a:blip xmlns:r="http://schemas.openxmlformats.org/officeDocument/2006/relationships" r:embed="rId197" r:link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1002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118</xdr:row>
      <xdr:rowOff>0</xdr:rowOff>
    </xdr:from>
    <xdr:to>
      <xdr:col>1</xdr:col>
      <xdr:colOff>0</xdr:colOff>
      <xdr:row>119</xdr:row>
      <xdr:rowOff>0</xdr:rowOff>
    </xdr:to>
    <xdr:pic>
      <xdr:nvPicPr>
        <xdr:cNvPr id="101" name="图片 100"/>
        <xdr:cNvPicPr>
          <a:picLocks/>
        </xdr:cNvPicPr>
      </xdr:nvPicPr>
      <xdr:blipFill>
        <a:blip xmlns:r="http://schemas.openxmlformats.org/officeDocument/2006/relationships" r:embed="rId199" r:link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3955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0</xdr:rowOff>
    </xdr:from>
    <xdr:to>
      <xdr:col>1</xdr:col>
      <xdr:colOff>0</xdr:colOff>
      <xdr:row>109</xdr:row>
      <xdr:rowOff>0</xdr:rowOff>
    </xdr:to>
    <xdr:pic>
      <xdr:nvPicPr>
        <xdr:cNvPr id="102" name="图片 101"/>
        <xdr:cNvPicPr>
          <a:picLocks/>
        </xdr:cNvPicPr>
      </xdr:nvPicPr>
      <xdr:blipFill>
        <a:blip xmlns:r="http://schemas.openxmlformats.org/officeDocument/2006/relationships" r:embed="rId201" r:link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6908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241</xdr:row>
      <xdr:rowOff>0</xdr:rowOff>
    </xdr:from>
    <xdr:to>
      <xdr:col>1</xdr:col>
      <xdr:colOff>0</xdr:colOff>
      <xdr:row>242</xdr:row>
      <xdr:rowOff>0</xdr:rowOff>
    </xdr:to>
    <xdr:pic>
      <xdr:nvPicPr>
        <xdr:cNvPr id="103" name="图片 102"/>
        <xdr:cNvPicPr>
          <a:picLocks/>
        </xdr:cNvPicPr>
      </xdr:nvPicPr>
      <xdr:blipFill>
        <a:blip xmlns:r="http://schemas.openxmlformats.org/officeDocument/2006/relationships" r:embed="rId203" r:link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9860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</xdr:col>
      <xdr:colOff>0</xdr:colOff>
      <xdr:row>91</xdr:row>
      <xdr:rowOff>0</xdr:rowOff>
    </xdr:to>
    <xdr:pic>
      <xdr:nvPicPr>
        <xdr:cNvPr id="104" name="图片 103"/>
        <xdr:cNvPicPr>
          <a:picLocks/>
        </xdr:cNvPicPr>
      </xdr:nvPicPr>
      <xdr:blipFill>
        <a:blip xmlns:r="http://schemas.openxmlformats.org/officeDocument/2006/relationships" r:embed="rId205" r:link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2813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105" name="图片 104"/>
        <xdr:cNvPicPr>
          <a:picLocks/>
        </xdr:cNvPicPr>
      </xdr:nvPicPr>
      <xdr:blipFill>
        <a:blip xmlns:r="http://schemas.openxmlformats.org/officeDocument/2006/relationships" r:embed="rId207" r:link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5766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176</xdr:row>
      <xdr:rowOff>0</xdr:rowOff>
    </xdr:from>
    <xdr:to>
      <xdr:col>1</xdr:col>
      <xdr:colOff>0</xdr:colOff>
      <xdr:row>177</xdr:row>
      <xdr:rowOff>0</xdr:rowOff>
    </xdr:to>
    <xdr:pic>
      <xdr:nvPicPr>
        <xdr:cNvPr id="106" name="图片 105"/>
        <xdr:cNvPicPr>
          <a:picLocks/>
        </xdr:cNvPicPr>
      </xdr:nvPicPr>
      <xdr:blipFill>
        <a:blip xmlns:r="http://schemas.openxmlformats.org/officeDocument/2006/relationships" r:embed="rId209" r:link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8719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1</xdr:col>
      <xdr:colOff>0</xdr:colOff>
      <xdr:row>65</xdr:row>
      <xdr:rowOff>0</xdr:rowOff>
    </xdr:to>
    <xdr:pic>
      <xdr:nvPicPr>
        <xdr:cNvPr id="107" name="图片 106"/>
        <xdr:cNvPicPr>
          <a:picLocks/>
        </xdr:cNvPicPr>
      </xdr:nvPicPr>
      <xdr:blipFill>
        <a:blip xmlns:r="http://schemas.openxmlformats.org/officeDocument/2006/relationships" r:embed="rId211" r:link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1671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1</xdr:col>
      <xdr:colOff>0</xdr:colOff>
      <xdr:row>56</xdr:row>
      <xdr:rowOff>0</xdr:rowOff>
    </xdr:to>
    <xdr:pic>
      <xdr:nvPicPr>
        <xdr:cNvPr id="108" name="图片 107"/>
        <xdr:cNvPicPr>
          <a:picLocks/>
        </xdr:cNvPicPr>
      </xdr:nvPicPr>
      <xdr:blipFill>
        <a:blip xmlns:r="http://schemas.openxmlformats.org/officeDocument/2006/relationships" r:embed="rId213" r:link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4624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110</xdr:row>
      <xdr:rowOff>0</xdr:rowOff>
    </xdr:from>
    <xdr:to>
      <xdr:col>1</xdr:col>
      <xdr:colOff>0</xdr:colOff>
      <xdr:row>111</xdr:row>
      <xdr:rowOff>0</xdr:rowOff>
    </xdr:to>
    <xdr:pic>
      <xdr:nvPicPr>
        <xdr:cNvPr id="109" name="图片 108"/>
        <xdr:cNvPicPr>
          <a:picLocks/>
        </xdr:cNvPicPr>
      </xdr:nvPicPr>
      <xdr:blipFill>
        <a:blip xmlns:r="http://schemas.openxmlformats.org/officeDocument/2006/relationships" r:embed="rId215" r:link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7577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133</xdr:row>
      <xdr:rowOff>0</xdr:rowOff>
    </xdr:from>
    <xdr:to>
      <xdr:col>1</xdr:col>
      <xdr:colOff>0</xdr:colOff>
      <xdr:row>134</xdr:row>
      <xdr:rowOff>0</xdr:rowOff>
    </xdr:to>
    <xdr:pic>
      <xdr:nvPicPr>
        <xdr:cNvPr id="110" name="图片 109"/>
        <xdr:cNvPicPr>
          <a:picLocks/>
        </xdr:cNvPicPr>
      </xdr:nvPicPr>
      <xdr:blipFill>
        <a:blip xmlns:r="http://schemas.openxmlformats.org/officeDocument/2006/relationships" r:embed="rId217" r:link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0530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11" name="图片 110"/>
        <xdr:cNvPicPr>
          <a:picLocks/>
        </xdr:cNvPicPr>
      </xdr:nvPicPr>
      <xdr:blipFill>
        <a:blip xmlns:r="http://schemas.openxmlformats.org/officeDocument/2006/relationships" r:embed="rId219" r:link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3482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123</xdr:row>
      <xdr:rowOff>0</xdr:rowOff>
    </xdr:from>
    <xdr:to>
      <xdr:col>1</xdr:col>
      <xdr:colOff>0</xdr:colOff>
      <xdr:row>124</xdr:row>
      <xdr:rowOff>0</xdr:rowOff>
    </xdr:to>
    <xdr:pic>
      <xdr:nvPicPr>
        <xdr:cNvPr id="112" name="图片 111"/>
        <xdr:cNvPicPr>
          <a:picLocks/>
        </xdr:cNvPicPr>
      </xdr:nvPicPr>
      <xdr:blipFill>
        <a:blip xmlns:r="http://schemas.openxmlformats.org/officeDocument/2006/relationships" r:embed="rId221" r:link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6435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233</xdr:row>
      <xdr:rowOff>0</xdr:rowOff>
    </xdr:from>
    <xdr:to>
      <xdr:col>1</xdr:col>
      <xdr:colOff>0</xdr:colOff>
      <xdr:row>234</xdr:row>
      <xdr:rowOff>0</xdr:rowOff>
    </xdr:to>
    <xdr:pic>
      <xdr:nvPicPr>
        <xdr:cNvPr id="113" name="图片 112"/>
        <xdr:cNvPicPr>
          <a:picLocks/>
        </xdr:cNvPicPr>
      </xdr:nvPicPr>
      <xdr:blipFill>
        <a:blip xmlns:r="http://schemas.openxmlformats.org/officeDocument/2006/relationships" r:embed="rId223" r:link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5293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202</xdr:row>
      <xdr:rowOff>0</xdr:rowOff>
    </xdr:from>
    <xdr:to>
      <xdr:col>1</xdr:col>
      <xdr:colOff>0</xdr:colOff>
      <xdr:row>203</xdr:row>
      <xdr:rowOff>0</xdr:rowOff>
    </xdr:to>
    <xdr:pic>
      <xdr:nvPicPr>
        <xdr:cNvPr id="114" name="图片 113"/>
        <xdr:cNvPicPr>
          <a:picLocks/>
        </xdr:cNvPicPr>
      </xdr:nvPicPr>
      <xdr:blipFill>
        <a:blip xmlns:r="http://schemas.openxmlformats.org/officeDocument/2006/relationships" r:embed="rId225" r:link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8246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215</xdr:row>
      <xdr:rowOff>0</xdr:rowOff>
    </xdr:from>
    <xdr:to>
      <xdr:col>1</xdr:col>
      <xdr:colOff>0</xdr:colOff>
      <xdr:row>216</xdr:row>
      <xdr:rowOff>0</xdr:rowOff>
    </xdr:to>
    <xdr:pic>
      <xdr:nvPicPr>
        <xdr:cNvPr id="115" name="图片 114"/>
        <xdr:cNvPicPr>
          <a:picLocks/>
        </xdr:cNvPicPr>
      </xdr:nvPicPr>
      <xdr:blipFill>
        <a:blip xmlns:r="http://schemas.openxmlformats.org/officeDocument/2006/relationships" r:embed="rId227" r:link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1199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142</xdr:row>
      <xdr:rowOff>0</xdr:rowOff>
    </xdr:from>
    <xdr:to>
      <xdr:col>1</xdr:col>
      <xdr:colOff>0</xdr:colOff>
      <xdr:row>143</xdr:row>
      <xdr:rowOff>0</xdr:rowOff>
    </xdr:to>
    <xdr:pic>
      <xdr:nvPicPr>
        <xdr:cNvPr id="116" name="图片 115"/>
        <xdr:cNvPicPr>
          <a:picLocks/>
        </xdr:cNvPicPr>
      </xdr:nvPicPr>
      <xdr:blipFill>
        <a:blip xmlns:r="http://schemas.openxmlformats.org/officeDocument/2006/relationships" r:embed="rId229" r:link="rId2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4152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162</xdr:row>
      <xdr:rowOff>0</xdr:rowOff>
    </xdr:from>
    <xdr:to>
      <xdr:col>1</xdr:col>
      <xdr:colOff>0</xdr:colOff>
      <xdr:row>163</xdr:row>
      <xdr:rowOff>0</xdr:rowOff>
    </xdr:to>
    <xdr:pic>
      <xdr:nvPicPr>
        <xdr:cNvPr id="117" name="图片 116"/>
        <xdr:cNvPicPr>
          <a:picLocks/>
        </xdr:cNvPicPr>
      </xdr:nvPicPr>
      <xdr:blipFill>
        <a:blip xmlns:r="http://schemas.openxmlformats.org/officeDocument/2006/relationships" r:embed="rId231" r:link="rId2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60057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118" name="图片 117"/>
        <xdr:cNvPicPr>
          <a:picLocks/>
        </xdr:cNvPicPr>
      </xdr:nvPicPr>
      <xdr:blipFill>
        <a:blip xmlns:r="http://schemas.openxmlformats.org/officeDocument/2006/relationships" r:embed="rId233" r:link="rId2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63010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19" name="图片 118"/>
        <xdr:cNvPicPr>
          <a:picLocks/>
        </xdr:cNvPicPr>
      </xdr:nvPicPr>
      <xdr:blipFill>
        <a:blip xmlns:r="http://schemas.openxmlformats.org/officeDocument/2006/relationships" r:embed="rId235" r:link="rId2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65963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</xdr:col>
      <xdr:colOff>0</xdr:colOff>
      <xdr:row>67</xdr:row>
      <xdr:rowOff>0</xdr:rowOff>
    </xdr:to>
    <xdr:pic>
      <xdr:nvPicPr>
        <xdr:cNvPr id="120" name="图片 119"/>
        <xdr:cNvPicPr>
          <a:picLocks/>
        </xdr:cNvPicPr>
      </xdr:nvPicPr>
      <xdr:blipFill>
        <a:blip xmlns:r="http://schemas.openxmlformats.org/officeDocument/2006/relationships" r:embed="rId237" r:link="rId2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68915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221</xdr:row>
      <xdr:rowOff>0</xdr:rowOff>
    </xdr:from>
    <xdr:to>
      <xdr:col>1</xdr:col>
      <xdr:colOff>0</xdr:colOff>
      <xdr:row>222</xdr:row>
      <xdr:rowOff>0</xdr:rowOff>
    </xdr:to>
    <xdr:pic>
      <xdr:nvPicPr>
        <xdr:cNvPr id="121" name="图片 120"/>
        <xdr:cNvPicPr>
          <a:picLocks/>
        </xdr:cNvPicPr>
      </xdr:nvPicPr>
      <xdr:blipFill>
        <a:blip xmlns:r="http://schemas.openxmlformats.org/officeDocument/2006/relationships" r:embed="rId239" r:link="rId2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4821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122" name="图片 121"/>
        <xdr:cNvPicPr>
          <a:picLocks/>
        </xdr:cNvPicPr>
      </xdr:nvPicPr>
      <xdr:blipFill>
        <a:blip xmlns:r="http://schemas.openxmlformats.org/officeDocument/2006/relationships" r:embed="rId241" r:link="rId2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7774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186</xdr:row>
      <xdr:rowOff>0</xdr:rowOff>
    </xdr:from>
    <xdr:to>
      <xdr:col>1</xdr:col>
      <xdr:colOff>0</xdr:colOff>
      <xdr:row>187</xdr:row>
      <xdr:rowOff>0</xdr:rowOff>
    </xdr:to>
    <xdr:pic>
      <xdr:nvPicPr>
        <xdr:cNvPr id="123" name="图片 122"/>
        <xdr:cNvPicPr>
          <a:picLocks/>
        </xdr:cNvPicPr>
      </xdr:nvPicPr>
      <xdr:blipFill>
        <a:blip xmlns:r="http://schemas.openxmlformats.org/officeDocument/2006/relationships" r:embed="rId243" r:link="rId2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0726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199</xdr:row>
      <xdr:rowOff>0</xdr:rowOff>
    </xdr:from>
    <xdr:to>
      <xdr:col>1</xdr:col>
      <xdr:colOff>0</xdr:colOff>
      <xdr:row>200</xdr:row>
      <xdr:rowOff>0</xdr:rowOff>
    </xdr:to>
    <xdr:pic>
      <xdr:nvPicPr>
        <xdr:cNvPr id="124" name="图片 123"/>
        <xdr:cNvPicPr>
          <a:picLocks/>
        </xdr:cNvPicPr>
      </xdr:nvPicPr>
      <xdr:blipFill>
        <a:blip xmlns:r="http://schemas.openxmlformats.org/officeDocument/2006/relationships" r:embed="rId245" r:link="rId2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3679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231</xdr:row>
      <xdr:rowOff>0</xdr:rowOff>
    </xdr:from>
    <xdr:to>
      <xdr:col>1</xdr:col>
      <xdr:colOff>0</xdr:colOff>
      <xdr:row>232</xdr:row>
      <xdr:rowOff>0</xdr:rowOff>
    </xdr:to>
    <xdr:pic>
      <xdr:nvPicPr>
        <xdr:cNvPr id="125" name="图片 124"/>
        <xdr:cNvPicPr>
          <a:picLocks/>
        </xdr:cNvPicPr>
      </xdr:nvPicPr>
      <xdr:blipFill>
        <a:blip xmlns:r="http://schemas.openxmlformats.org/officeDocument/2006/relationships" r:embed="rId247" r:link="rId2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6632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128</xdr:row>
      <xdr:rowOff>0</xdr:rowOff>
    </xdr:from>
    <xdr:to>
      <xdr:col>1</xdr:col>
      <xdr:colOff>0</xdr:colOff>
      <xdr:row>129</xdr:row>
      <xdr:rowOff>0</xdr:rowOff>
    </xdr:to>
    <xdr:pic>
      <xdr:nvPicPr>
        <xdr:cNvPr id="126" name="图片 125"/>
        <xdr:cNvPicPr>
          <a:picLocks/>
        </xdr:cNvPicPr>
      </xdr:nvPicPr>
      <xdr:blipFill>
        <a:blip xmlns:r="http://schemas.openxmlformats.org/officeDocument/2006/relationships" r:embed="rId249" r:link="rId2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9585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1</xdr:col>
      <xdr:colOff>0</xdr:colOff>
      <xdr:row>89</xdr:row>
      <xdr:rowOff>0</xdr:rowOff>
    </xdr:to>
    <xdr:pic>
      <xdr:nvPicPr>
        <xdr:cNvPr id="127" name="图片 126"/>
        <xdr:cNvPicPr>
          <a:picLocks/>
        </xdr:cNvPicPr>
      </xdr:nvPicPr>
      <xdr:blipFill>
        <a:blip xmlns:r="http://schemas.openxmlformats.org/officeDocument/2006/relationships" r:embed="rId251" r:link="rId2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2537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128" name="图片 127"/>
        <xdr:cNvPicPr>
          <a:picLocks/>
        </xdr:cNvPicPr>
      </xdr:nvPicPr>
      <xdr:blipFill>
        <a:blip xmlns:r="http://schemas.openxmlformats.org/officeDocument/2006/relationships" r:embed="rId253" r:link="rId2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5490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152</xdr:row>
      <xdr:rowOff>0</xdr:rowOff>
    </xdr:from>
    <xdr:to>
      <xdr:col>1</xdr:col>
      <xdr:colOff>0</xdr:colOff>
      <xdr:row>153</xdr:row>
      <xdr:rowOff>0</xdr:rowOff>
    </xdr:to>
    <xdr:pic>
      <xdr:nvPicPr>
        <xdr:cNvPr id="129" name="图片 128"/>
        <xdr:cNvPicPr>
          <a:picLocks/>
        </xdr:cNvPicPr>
      </xdr:nvPicPr>
      <xdr:blipFill>
        <a:blip xmlns:r="http://schemas.openxmlformats.org/officeDocument/2006/relationships" r:embed="rId255" r:link="rId2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8443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</xdr:col>
      <xdr:colOff>0</xdr:colOff>
      <xdr:row>57</xdr:row>
      <xdr:rowOff>0</xdr:rowOff>
    </xdr:to>
    <xdr:pic>
      <xdr:nvPicPr>
        <xdr:cNvPr id="130" name="图片 129"/>
        <xdr:cNvPicPr>
          <a:picLocks/>
        </xdr:cNvPicPr>
      </xdr:nvPicPr>
      <xdr:blipFill>
        <a:blip xmlns:r="http://schemas.openxmlformats.org/officeDocument/2006/relationships" r:embed="rId257" r:link="rId2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1396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1</xdr:col>
      <xdr:colOff>0</xdr:colOff>
      <xdr:row>54</xdr:row>
      <xdr:rowOff>0</xdr:rowOff>
    </xdr:to>
    <xdr:pic>
      <xdr:nvPicPr>
        <xdr:cNvPr id="131" name="图片 130"/>
        <xdr:cNvPicPr>
          <a:picLocks/>
        </xdr:cNvPicPr>
      </xdr:nvPicPr>
      <xdr:blipFill>
        <a:blip xmlns:r="http://schemas.openxmlformats.org/officeDocument/2006/relationships" r:embed="rId259" r:link="rId2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4348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132" name="图片 131"/>
        <xdr:cNvPicPr>
          <a:picLocks/>
        </xdr:cNvPicPr>
      </xdr:nvPicPr>
      <xdr:blipFill>
        <a:blip xmlns:r="http://schemas.openxmlformats.org/officeDocument/2006/relationships" r:embed="rId261" r:link="rId2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7301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1</xdr:col>
      <xdr:colOff>0</xdr:colOff>
      <xdr:row>102</xdr:row>
      <xdr:rowOff>0</xdr:rowOff>
    </xdr:to>
    <xdr:pic>
      <xdr:nvPicPr>
        <xdr:cNvPr id="133" name="图片 132"/>
        <xdr:cNvPicPr>
          <a:picLocks/>
        </xdr:cNvPicPr>
      </xdr:nvPicPr>
      <xdr:blipFill>
        <a:blip xmlns:r="http://schemas.openxmlformats.org/officeDocument/2006/relationships" r:embed="rId263" r:link="rId2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0254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134" name="图片 133"/>
        <xdr:cNvPicPr>
          <a:picLocks/>
        </xdr:cNvPicPr>
      </xdr:nvPicPr>
      <xdr:blipFill>
        <a:blip xmlns:r="http://schemas.openxmlformats.org/officeDocument/2006/relationships" r:embed="rId265" r:link="rId2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3207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185</xdr:row>
      <xdr:rowOff>0</xdr:rowOff>
    </xdr:from>
    <xdr:to>
      <xdr:col>1</xdr:col>
      <xdr:colOff>0</xdr:colOff>
      <xdr:row>186</xdr:row>
      <xdr:rowOff>0</xdr:rowOff>
    </xdr:to>
    <xdr:pic>
      <xdr:nvPicPr>
        <xdr:cNvPr id="135" name="图片 134"/>
        <xdr:cNvPicPr>
          <a:picLocks/>
        </xdr:cNvPicPr>
      </xdr:nvPicPr>
      <xdr:blipFill>
        <a:blip xmlns:r="http://schemas.openxmlformats.org/officeDocument/2006/relationships" r:embed="rId267" r:link="rId2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6159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</xdr:col>
      <xdr:colOff>0</xdr:colOff>
      <xdr:row>78</xdr:row>
      <xdr:rowOff>0</xdr:rowOff>
    </xdr:to>
    <xdr:pic>
      <xdr:nvPicPr>
        <xdr:cNvPr id="136" name="图片 135"/>
        <xdr:cNvPicPr>
          <a:picLocks/>
        </xdr:cNvPicPr>
      </xdr:nvPicPr>
      <xdr:blipFill>
        <a:blip xmlns:r="http://schemas.openxmlformats.org/officeDocument/2006/relationships" r:embed="rId269" r:link="rId2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9112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130</xdr:row>
      <xdr:rowOff>0</xdr:rowOff>
    </xdr:from>
    <xdr:to>
      <xdr:col>1</xdr:col>
      <xdr:colOff>0</xdr:colOff>
      <xdr:row>131</xdr:row>
      <xdr:rowOff>0</xdr:rowOff>
    </xdr:to>
    <xdr:pic>
      <xdr:nvPicPr>
        <xdr:cNvPr id="137" name="图片 136"/>
        <xdr:cNvPicPr>
          <a:picLocks/>
        </xdr:cNvPicPr>
      </xdr:nvPicPr>
      <xdr:blipFill>
        <a:blip xmlns:r="http://schemas.openxmlformats.org/officeDocument/2006/relationships" r:embed="rId271" r:link="rId2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2065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148</xdr:row>
      <xdr:rowOff>0</xdr:rowOff>
    </xdr:from>
    <xdr:to>
      <xdr:col>1</xdr:col>
      <xdr:colOff>0</xdr:colOff>
      <xdr:row>149</xdr:row>
      <xdr:rowOff>0</xdr:rowOff>
    </xdr:to>
    <xdr:pic>
      <xdr:nvPicPr>
        <xdr:cNvPr id="138" name="图片 137"/>
        <xdr:cNvPicPr>
          <a:picLocks/>
        </xdr:cNvPicPr>
      </xdr:nvPicPr>
      <xdr:blipFill>
        <a:blip xmlns:r="http://schemas.openxmlformats.org/officeDocument/2006/relationships" r:embed="rId273" r:link="rId2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5018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155</xdr:row>
      <xdr:rowOff>0</xdr:rowOff>
    </xdr:from>
    <xdr:to>
      <xdr:col>1</xdr:col>
      <xdr:colOff>0</xdr:colOff>
      <xdr:row>156</xdr:row>
      <xdr:rowOff>0</xdr:rowOff>
    </xdr:to>
    <xdr:pic>
      <xdr:nvPicPr>
        <xdr:cNvPr id="139" name="图片 138"/>
        <xdr:cNvPicPr>
          <a:picLocks/>
        </xdr:cNvPicPr>
      </xdr:nvPicPr>
      <xdr:blipFill>
        <a:blip xmlns:r="http://schemas.openxmlformats.org/officeDocument/2006/relationships" r:embed="rId275" r:link="rId2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0923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</xdr:col>
      <xdr:colOff>0</xdr:colOff>
      <xdr:row>70</xdr:row>
      <xdr:rowOff>0</xdr:rowOff>
    </xdr:to>
    <xdr:pic>
      <xdr:nvPicPr>
        <xdr:cNvPr id="140" name="图片 139"/>
        <xdr:cNvPicPr>
          <a:picLocks/>
        </xdr:cNvPicPr>
      </xdr:nvPicPr>
      <xdr:blipFill>
        <a:blip xmlns:r="http://schemas.openxmlformats.org/officeDocument/2006/relationships" r:embed="rId277" r:link="rId2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3876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141" name="图片 140"/>
        <xdr:cNvPicPr>
          <a:picLocks/>
        </xdr:cNvPicPr>
      </xdr:nvPicPr>
      <xdr:blipFill>
        <a:blip xmlns:r="http://schemas.openxmlformats.org/officeDocument/2006/relationships" r:embed="rId279" r:link="rId2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6829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205</xdr:row>
      <xdr:rowOff>0</xdr:rowOff>
    </xdr:from>
    <xdr:to>
      <xdr:col>1</xdr:col>
      <xdr:colOff>0</xdr:colOff>
      <xdr:row>206</xdr:row>
      <xdr:rowOff>0</xdr:rowOff>
    </xdr:to>
    <xdr:pic>
      <xdr:nvPicPr>
        <xdr:cNvPr id="142" name="图片 141"/>
        <xdr:cNvPicPr>
          <a:picLocks/>
        </xdr:cNvPicPr>
      </xdr:nvPicPr>
      <xdr:blipFill>
        <a:blip xmlns:r="http://schemas.openxmlformats.org/officeDocument/2006/relationships" r:embed="rId281" r:link="rId2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9781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1</xdr:col>
      <xdr:colOff>0</xdr:colOff>
      <xdr:row>104</xdr:row>
      <xdr:rowOff>0</xdr:rowOff>
    </xdr:to>
    <xdr:pic>
      <xdr:nvPicPr>
        <xdr:cNvPr id="143" name="图片 142"/>
        <xdr:cNvPicPr>
          <a:picLocks/>
        </xdr:cNvPicPr>
      </xdr:nvPicPr>
      <xdr:blipFill>
        <a:blip xmlns:r="http://schemas.openxmlformats.org/officeDocument/2006/relationships" r:embed="rId283" r:link="rId2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2734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138</xdr:row>
      <xdr:rowOff>0</xdr:rowOff>
    </xdr:from>
    <xdr:to>
      <xdr:col>1</xdr:col>
      <xdr:colOff>0</xdr:colOff>
      <xdr:row>139</xdr:row>
      <xdr:rowOff>0</xdr:rowOff>
    </xdr:to>
    <xdr:pic>
      <xdr:nvPicPr>
        <xdr:cNvPr id="144" name="图片 143"/>
        <xdr:cNvPicPr>
          <a:picLocks/>
        </xdr:cNvPicPr>
      </xdr:nvPicPr>
      <xdr:blipFill>
        <a:blip xmlns:r="http://schemas.openxmlformats.org/officeDocument/2006/relationships" r:embed="rId285" r:link="rId2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5687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145" name="图片 144"/>
        <xdr:cNvPicPr>
          <a:picLocks/>
        </xdr:cNvPicPr>
      </xdr:nvPicPr>
      <xdr:blipFill>
        <a:blip xmlns:r="http://schemas.openxmlformats.org/officeDocument/2006/relationships" r:embed="rId287" r:link="rId2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8640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1</xdr:col>
      <xdr:colOff>0</xdr:colOff>
      <xdr:row>66</xdr:row>
      <xdr:rowOff>0</xdr:rowOff>
    </xdr:to>
    <xdr:pic>
      <xdr:nvPicPr>
        <xdr:cNvPr id="146" name="图片 145"/>
        <xdr:cNvPicPr>
          <a:picLocks/>
        </xdr:cNvPicPr>
      </xdr:nvPicPr>
      <xdr:blipFill>
        <a:blip xmlns:r="http://schemas.openxmlformats.org/officeDocument/2006/relationships" r:embed="rId289" r:link="rId2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51592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47" name="图片 146"/>
        <xdr:cNvPicPr>
          <a:picLocks/>
        </xdr:cNvPicPr>
      </xdr:nvPicPr>
      <xdr:blipFill>
        <a:blip xmlns:r="http://schemas.openxmlformats.org/officeDocument/2006/relationships" r:embed="rId291" r:link="rId2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54545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232</xdr:row>
      <xdr:rowOff>0</xdr:rowOff>
    </xdr:from>
    <xdr:to>
      <xdr:col>1</xdr:col>
      <xdr:colOff>0</xdr:colOff>
      <xdr:row>233</xdr:row>
      <xdr:rowOff>0</xdr:rowOff>
    </xdr:to>
    <xdr:pic>
      <xdr:nvPicPr>
        <xdr:cNvPr id="148" name="图片 147"/>
        <xdr:cNvPicPr>
          <a:picLocks/>
        </xdr:cNvPicPr>
      </xdr:nvPicPr>
      <xdr:blipFill>
        <a:blip xmlns:r="http://schemas.openxmlformats.org/officeDocument/2006/relationships" r:embed="rId293" r:link="rId2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57498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107</xdr:row>
      <xdr:rowOff>0</xdr:rowOff>
    </xdr:from>
    <xdr:to>
      <xdr:col>1</xdr:col>
      <xdr:colOff>0</xdr:colOff>
      <xdr:row>108</xdr:row>
      <xdr:rowOff>0</xdr:rowOff>
    </xdr:to>
    <xdr:pic>
      <xdr:nvPicPr>
        <xdr:cNvPr id="149" name="图片 148"/>
        <xdr:cNvPicPr>
          <a:picLocks/>
        </xdr:cNvPicPr>
      </xdr:nvPicPr>
      <xdr:blipFill>
        <a:blip xmlns:r="http://schemas.openxmlformats.org/officeDocument/2006/relationships" r:embed="rId97" r:link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0451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50" name="图片 149"/>
        <xdr:cNvPicPr>
          <a:picLocks/>
        </xdr:cNvPicPr>
      </xdr:nvPicPr>
      <xdr:blipFill>
        <a:blip xmlns:r="http://schemas.openxmlformats.org/officeDocument/2006/relationships" r:embed="rId295" r:link="rId2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3403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</xdr:col>
      <xdr:colOff>0</xdr:colOff>
      <xdr:row>69</xdr:row>
      <xdr:rowOff>0</xdr:rowOff>
    </xdr:to>
    <xdr:pic>
      <xdr:nvPicPr>
        <xdr:cNvPr id="151" name="图片 150"/>
        <xdr:cNvPicPr>
          <a:picLocks/>
        </xdr:cNvPicPr>
      </xdr:nvPicPr>
      <xdr:blipFill>
        <a:blip xmlns:r="http://schemas.openxmlformats.org/officeDocument/2006/relationships" r:embed="rId297" r:link="rId2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6356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213</xdr:row>
      <xdr:rowOff>0</xdr:rowOff>
    </xdr:from>
    <xdr:to>
      <xdr:col>1</xdr:col>
      <xdr:colOff>0</xdr:colOff>
      <xdr:row>214</xdr:row>
      <xdr:rowOff>0</xdr:rowOff>
    </xdr:to>
    <xdr:pic>
      <xdr:nvPicPr>
        <xdr:cNvPr id="152" name="图片 151"/>
        <xdr:cNvPicPr>
          <a:picLocks/>
        </xdr:cNvPicPr>
      </xdr:nvPicPr>
      <xdr:blipFill>
        <a:blip xmlns:r="http://schemas.openxmlformats.org/officeDocument/2006/relationships" r:embed="rId299" r:link="rId3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2262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153" name="图片 152"/>
        <xdr:cNvPicPr>
          <a:picLocks/>
        </xdr:cNvPicPr>
      </xdr:nvPicPr>
      <xdr:blipFill>
        <a:blip xmlns:r="http://schemas.openxmlformats.org/officeDocument/2006/relationships" r:embed="rId103" r:link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5214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243</xdr:row>
      <xdr:rowOff>0</xdr:rowOff>
    </xdr:from>
    <xdr:to>
      <xdr:col>1</xdr:col>
      <xdr:colOff>0</xdr:colOff>
      <xdr:row>244</xdr:row>
      <xdr:rowOff>0</xdr:rowOff>
    </xdr:to>
    <xdr:pic>
      <xdr:nvPicPr>
        <xdr:cNvPr id="154" name="图片 153"/>
        <xdr:cNvPicPr>
          <a:picLocks/>
        </xdr:cNvPicPr>
      </xdr:nvPicPr>
      <xdr:blipFill>
        <a:blip xmlns:r="http://schemas.openxmlformats.org/officeDocument/2006/relationships" r:embed="rId301" r:link="rId3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8167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116</xdr:row>
      <xdr:rowOff>0</xdr:rowOff>
    </xdr:from>
    <xdr:to>
      <xdr:col>1</xdr:col>
      <xdr:colOff>0</xdr:colOff>
      <xdr:row>117</xdr:row>
      <xdr:rowOff>0</xdr:rowOff>
    </xdr:to>
    <xdr:pic>
      <xdr:nvPicPr>
        <xdr:cNvPr id="155" name="图片 154"/>
        <xdr:cNvPicPr>
          <a:picLocks/>
        </xdr:cNvPicPr>
      </xdr:nvPicPr>
      <xdr:blipFill>
        <a:blip xmlns:r="http://schemas.openxmlformats.org/officeDocument/2006/relationships" r:embed="rId303" r:link="rId3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1120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240</xdr:row>
      <xdr:rowOff>0</xdr:rowOff>
    </xdr:from>
    <xdr:to>
      <xdr:col>1</xdr:col>
      <xdr:colOff>0</xdr:colOff>
      <xdr:row>241</xdr:row>
      <xdr:rowOff>0</xdr:rowOff>
    </xdr:to>
    <xdr:pic>
      <xdr:nvPicPr>
        <xdr:cNvPr id="156" name="图片 155"/>
        <xdr:cNvPicPr>
          <a:picLocks/>
        </xdr:cNvPicPr>
      </xdr:nvPicPr>
      <xdr:blipFill>
        <a:blip xmlns:r="http://schemas.openxmlformats.org/officeDocument/2006/relationships" r:embed="rId305" r:link="rId3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4073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157" name="图片 156"/>
        <xdr:cNvPicPr>
          <a:picLocks/>
        </xdr:cNvPicPr>
      </xdr:nvPicPr>
      <xdr:blipFill>
        <a:blip xmlns:r="http://schemas.openxmlformats.org/officeDocument/2006/relationships" r:embed="rId307" r:link="rId3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9978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150</xdr:row>
      <xdr:rowOff>0</xdr:rowOff>
    </xdr:from>
    <xdr:to>
      <xdr:col>1</xdr:col>
      <xdr:colOff>0</xdr:colOff>
      <xdr:row>151</xdr:row>
      <xdr:rowOff>0</xdr:rowOff>
    </xdr:to>
    <xdr:pic>
      <xdr:nvPicPr>
        <xdr:cNvPr id="158" name="图片 157"/>
        <xdr:cNvPicPr>
          <a:picLocks/>
        </xdr:cNvPicPr>
      </xdr:nvPicPr>
      <xdr:blipFill>
        <a:blip xmlns:r="http://schemas.openxmlformats.org/officeDocument/2006/relationships" r:embed="rId309" r:link="rId3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1789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173</xdr:row>
      <xdr:rowOff>0</xdr:rowOff>
    </xdr:from>
    <xdr:to>
      <xdr:col>1</xdr:col>
      <xdr:colOff>0</xdr:colOff>
      <xdr:row>174</xdr:row>
      <xdr:rowOff>0</xdr:rowOff>
    </xdr:to>
    <xdr:pic>
      <xdr:nvPicPr>
        <xdr:cNvPr id="159" name="图片 158"/>
        <xdr:cNvPicPr>
          <a:picLocks/>
        </xdr:cNvPicPr>
      </xdr:nvPicPr>
      <xdr:blipFill>
        <a:blip xmlns:r="http://schemas.openxmlformats.org/officeDocument/2006/relationships" r:embed="rId311" r:link="rId3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0647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212</xdr:row>
      <xdr:rowOff>0</xdr:rowOff>
    </xdr:from>
    <xdr:to>
      <xdr:col>1</xdr:col>
      <xdr:colOff>0</xdr:colOff>
      <xdr:row>213</xdr:row>
      <xdr:rowOff>0</xdr:rowOff>
    </xdr:to>
    <xdr:pic>
      <xdr:nvPicPr>
        <xdr:cNvPr id="160" name="图片 159"/>
        <xdr:cNvPicPr>
          <a:picLocks/>
        </xdr:cNvPicPr>
      </xdr:nvPicPr>
      <xdr:blipFill>
        <a:blip xmlns:r="http://schemas.openxmlformats.org/officeDocument/2006/relationships" r:embed="rId313" r:link="rId3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3600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200</xdr:row>
      <xdr:rowOff>0</xdr:rowOff>
    </xdr:from>
    <xdr:to>
      <xdr:col>1</xdr:col>
      <xdr:colOff>0</xdr:colOff>
      <xdr:row>201</xdr:row>
      <xdr:rowOff>0</xdr:rowOff>
    </xdr:to>
    <xdr:pic>
      <xdr:nvPicPr>
        <xdr:cNvPr id="161" name="图片 160"/>
        <xdr:cNvPicPr>
          <a:picLocks/>
        </xdr:cNvPicPr>
      </xdr:nvPicPr>
      <xdr:blipFill>
        <a:blip xmlns:r="http://schemas.openxmlformats.org/officeDocument/2006/relationships" r:embed="rId315" r:link="rId3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6553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226</xdr:row>
      <xdr:rowOff>0</xdr:rowOff>
    </xdr:from>
    <xdr:to>
      <xdr:col>1</xdr:col>
      <xdr:colOff>0</xdr:colOff>
      <xdr:row>227</xdr:row>
      <xdr:rowOff>0</xdr:rowOff>
    </xdr:to>
    <xdr:pic>
      <xdr:nvPicPr>
        <xdr:cNvPr id="162" name="图片 161"/>
        <xdr:cNvPicPr>
          <a:picLocks/>
        </xdr:cNvPicPr>
      </xdr:nvPicPr>
      <xdr:blipFill>
        <a:blip xmlns:r="http://schemas.openxmlformats.org/officeDocument/2006/relationships" r:embed="rId317" r:link="rId3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22458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204</xdr:row>
      <xdr:rowOff>0</xdr:rowOff>
    </xdr:from>
    <xdr:to>
      <xdr:col>1</xdr:col>
      <xdr:colOff>0</xdr:colOff>
      <xdr:row>205</xdr:row>
      <xdr:rowOff>0</xdr:rowOff>
    </xdr:to>
    <xdr:pic>
      <xdr:nvPicPr>
        <xdr:cNvPr id="163" name="图片 162"/>
        <xdr:cNvPicPr>
          <a:picLocks/>
        </xdr:cNvPicPr>
      </xdr:nvPicPr>
      <xdr:blipFill>
        <a:blip xmlns:r="http://schemas.openxmlformats.org/officeDocument/2006/relationships" r:embed="rId319" r:link="rId3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25411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0</xdr:rowOff>
    </xdr:from>
    <xdr:to>
      <xdr:col>1</xdr:col>
      <xdr:colOff>0</xdr:colOff>
      <xdr:row>96</xdr:row>
      <xdr:rowOff>0</xdr:rowOff>
    </xdr:to>
    <xdr:pic>
      <xdr:nvPicPr>
        <xdr:cNvPr id="164" name="图片 163"/>
        <xdr:cNvPicPr>
          <a:picLocks/>
        </xdr:cNvPicPr>
      </xdr:nvPicPr>
      <xdr:blipFill>
        <a:blip xmlns:r="http://schemas.openxmlformats.org/officeDocument/2006/relationships" r:embed="rId321" r:link="rId3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1317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65" name="图片 164"/>
        <xdr:cNvPicPr>
          <a:picLocks/>
        </xdr:cNvPicPr>
      </xdr:nvPicPr>
      <xdr:blipFill>
        <a:blip xmlns:r="http://schemas.openxmlformats.org/officeDocument/2006/relationships" r:embed="rId323" r:link="rId3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7222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144</xdr:row>
      <xdr:rowOff>0</xdr:rowOff>
    </xdr:from>
    <xdr:to>
      <xdr:col>1</xdr:col>
      <xdr:colOff>0</xdr:colOff>
      <xdr:row>145</xdr:row>
      <xdr:rowOff>0</xdr:rowOff>
    </xdr:to>
    <xdr:pic>
      <xdr:nvPicPr>
        <xdr:cNvPr id="166" name="图片 165"/>
        <xdr:cNvPicPr>
          <a:picLocks/>
        </xdr:cNvPicPr>
      </xdr:nvPicPr>
      <xdr:blipFill>
        <a:blip xmlns:r="http://schemas.openxmlformats.org/officeDocument/2006/relationships" r:embed="rId325" r:link="rId3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1986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211</xdr:row>
      <xdr:rowOff>0</xdr:rowOff>
    </xdr:from>
    <xdr:to>
      <xdr:col>1</xdr:col>
      <xdr:colOff>0</xdr:colOff>
      <xdr:row>212</xdr:row>
      <xdr:rowOff>0</xdr:rowOff>
    </xdr:to>
    <xdr:pic>
      <xdr:nvPicPr>
        <xdr:cNvPr id="167" name="图片 166"/>
        <xdr:cNvPicPr>
          <a:picLocks/>
        </xdr:cNvPicPr>
      </xdr:nvPicPr>
      <xdr:blipFill>
        <a:blip xmlns:r="http://schemas.openxmlformats.org/officeDocument/2006/relationships" r:embed="rId327" r:link="rId3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4939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1</xdr:col>
      <xdr:colOff>0</xdr:colOff>
      <xdr:row>86</xdr:row>
      <xdr:rowOff>0</xdr:rowOff>
    </xdr:to>
    <xdr:pic>
      <xdr:nvPicPr>
        <xdr:cNvPr id="168" name="图片 167"/>
        <xdr:cNvPicPr>
          <a:picLocks/>
        </xdr:cNvPicPr>
      </xdr:nvPicPr>
      <xdr:blipFill>
        <a:blip xmlns:r="http://schemas.openxmlformats.org/officeDocument/2006/relationships" r:embed="rId329" r:link="rId3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7891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216</xdr:row>
      <xdr:rowOff>0</xdr:rowOff>
    </xdr:from>
    <xdr:to>
      <xdr:col>1</xdr:col>
      <xdr:colOff>0</xdr:colOff>
      <xdr:row>217</xdr:row>
      <xdr:rowOff>0</xdr:rowOff>
    </xdr:to>
    <xdr:pic>
      <xdr:nvPicPr>
        <xdr:cNvPr id="169" name="图片 168"/>
        <xdr:cNvPicPr>
          <a:picLocks/>
        </xdr:cNvPicPr>
      </xdr:nvPicPr>
      <xdr:blipFill>
        <a:blip xmlns:r="http://schemas.openxmlformats.org/officeDocument/2006/relationships" r:embed="rId331" r:link="rId3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0844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158</xdr:row>
      <xdr:rowOff>0</xdr:rowOff>
    </xdr:from>
    <xdr:to>
      <xdr:col>1</xdr:col>
      <xdr:colOff>0</xdr:colOff>
      <xdr:row>159</xdr:row>
      <xdr:rowOff>0</xdr:rowOff>
    </xdr:to>
    <xdr:pic>
      <xdr:nvPicPr>
        <xdr:cNvPr id="170" name="图片 169"/>
        <xdr:cNvPicPr>
          <a:picLocks/>
        </xdr:cNvPicPr>
      </xdr:nvPicPr>
      <xdr:blipFill>
        <a:blip xmlns:r="http://schemas.openxmlformats.org/officeDocument/2006/relationships" r:embed="rId333" r:link="rId3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2655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171" name="图片 170"/>
        <xdr:cNvPicPr>
          <a:picLocks/>
        </xdr:cNvPicPr>
      </xdr:nvPicPr>
      <xdr:blipFill>
        <a:blip xmlns:r="http://schemas.openxmlformats.org/officeDocument/2006/relationships" r:embed="rId335" r:link="rId3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5608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167</xdr:row>
      <xdr:rowOff>0</xdr:rowOff>
    </xdr:from>
    <xdr:to>
      <xdr:col>1</xdr:col>
      <xdr:colOff>0</xdr:colOff>
      <xdr:row>168</xdr:row>
      <xdr:rowOff>0</xdr:rowOff>
    </xdr:to>
    <xdr:pic>
      <xdr:nvPicPr>
        <xdr:cNvPr id="172" name="图片 171"/>
        <xdr:cNvPicPr>
          <a:picLocks/>
        </xdr:cNvPicPr>
      </xdr:nvPicPr>
      <xdr:blipFill>
        <a:blip xmlns:r="http://schemas.openxmlformats.org/officeDocument/2006/relationships" r:embed="rId337" r:link="rId3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8561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146</xdr:row>
      <xdr:rowOff>0</xdr:rowOff>
    </xdr:from>
    <xdr:to>
      <xdr:col>1</xdr:col>
      <xdr:colOff>0</xdr:colOff>
      <xdr:row>147</xdr:row>
      <xdr:rowOff>0</xdr:rowOff>
    </xdr:to>
    <xdr:pic>
      <xdr:nvPicPr>
        <xdr:cNvPr id="173" name="图片 172"/>
        <xdr:cNvPicPr>
          <a:picLocks/>
        </xdr:cNvPicPr>
      </xdr:nvPicPr>
      <xdr:blipFill>
        <a:blip xmlns:r="http://schemas.openxmlformats.org/officeDocument/2006/relationships" r:embed="rId339" r:link="rId3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1513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174" name="图片 173"/>
        <xdr:cNvPicPr>
          <a:picLocks/>
        </xdr:cNvPicPr>
      </xdr:nvPicPr>
      <xdr:blipFill>
        <a:blip xmlns:r="http://schemas.openxmlformats.org/officeDocument/2006/relationships" r:embed="rId341" r:link="rId3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4466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159</xdr:row>
      <xdr:rowOff>0</xdr:rowOff>
    </xdr:from>
    <xdr:to>
      <xdr:col>1</xdr:col>
      <xdr:colOff>0</xdr:colOff>
      <xdr:row>160</xdr:row>
      <xdr:rowOff>0</xdr:rowOff>
    </xdr:to>
    <xdr:pic>
      <xdr:nvPicPr>
        <xdr:cNvPr id="175" name="图片 174"/>
        <xdr:cNvPicPr>
          <a:picLocks/>
        </xdr:cNvPicPr>
      </xdr:nvPicPr>
      <xdr:blipFill>
        <a:blip xmlns:r="http://schemas.openxmlformats.org/officeDocument/2006/relationships" r:embed="rId343" r:link="rId3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7419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235</xdr:row>
      <xdr:rowOff>0</xdr:rowOff>
    </xdr:from>
    <xdr:to>
      <xdr:col>1</xdr:col>
      <xdr:colOff>0</xdr:colOff>
      <xdr:row>236</xdr:row>
      <xdr:rowOff>0</xdr:rowOff>
    </xdr:to>
    <xdr:pic>
      <xdr:nvPicPr>
        <xdr:cNvPr id="176" name="图片 175"/>
        <xdr:cNvPicPr>
          <a:picLocks/>
        </xdr:cNvPicPr>
      </xdr:nvPicPr>
      <xdr:blipFill>
        <a:blip xmlns:r="http://schemas.openxmlformats.org/officeDocument/2006/relationships" r:embed="rId345" r:link="rId3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90372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</xdr:col>
      <xdr:colOff>0</xdr:colOff>
      <xdr:row>90</xdr:row>
      <xdr:rowOff>0</xdr:rowOff>
    </xdr:to>
    <xdr:pic>
      <xdr:nvPicPr>
        <xdr:cNvPr id="177" name="图片 176"/>
        <xdr:cNvPicPr>
          <a:picLocks/>
        </xdr:cNvPicPr>
      </xdr:nvPicPr>
      <xdr:blipFill>
        <a:blip xmlns:r="http://schemas.openxmlformats.org/officeDocument/2006/relationships" r:embed="rId347" r:link="rId3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93324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1</xdr:col>
      <xdr:colOff>0</xdr:colOff>
      <xdr:row>76</xdr:row>
      <xdr:rowOff>0</xdr:rowOff>
    </xdr:to>
    <xdr:pic>
      <xdr:nvPicPr>
        <xdr:cNvPr id="178" name="图片 177"/>
        <xdr:cNvPicPr>
          <a:picLocks/>
        </xdr:cNvPicPr>
      </xdr:nvPicPr>
      <xdr:blipFill>
        <a:blip xmlns:r="http://schemas.openxmlformats.org/officeDocument/2006/relationships" r:embed="rId349" r:link="rId3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99230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109</xdr:row>
      <xdr:rowOff>0</xdr:rowOff>
    </xdr:from>
    <xdr:to>
      <xdr:col>1</xdr:col>
      <xdr:colOff>0</xdr:colOff>
      <xdr:row>110</xdr:row>
      <xdr:rowOff>0</xdr:rowOff>
    </xdr:to>
    <xdr:pic>
      <xdr:nvPicPr>
        <xdr:cNvPr id="179" name="图片 178"/>
        <xdr:cNvPicPr>
          <a:picLocks/>
        </xdr:cNvPicPr>
      </xdr:nvPicPr>
      <xdr:blipFill>
        <a:blip xmlns:r="http://schemas.openxmlformats.org/officeDocument/2006/relationships" r:embed="rId351" r:link="rId3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21830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225</xdr:row>
      <xdr:rowOff>0</xdr:rowOff>
    </xdr:from>
    <xdr:to>
      <xdr:col>1</xdr:col>
      <xdr:colOff>0</xdr:colOff>
      <xdr:row>226</xdr:row>
      <xdr:rowOff>0</xdr:rowOff>
    </xdr:to>
    <xdr:pic>
      <xdr:nvPicPr>
        <xdr:cNvPr id="180" name="图片 179"/>
        <xdr:cNvPicPr>
          <a:picLocks/>
        </xdr:cNvPicPr>
      </xdr:nvPicPr>
      <xdr:blipFill>
        <a:blip xmlns:r="http://schemas.openxmlformats.org/officeDocument/2006/relationships" r:embed="rId353" r:link="rId3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5135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129</xdr:row>
      <xdr:rowOff>0</xdr:rowOff>
    </xdr:from>
    <xdr:to>
      <xdr:col>1</xdr:col>
      <xdr:colOff>0</xdr:colOff>
      <xdr:row>130</xdr:row>
      <xdr:rowOff>0</xdr:rowOff>
    </xdr:to>
    <xdr:pic>
      <xdr:nvPicPr>
        <xdr:cNvPr id="181" name="图片 180"/>
        <xdr:cNvPicPr>
          <a:picLocks/>
        </xdr:cNvPicPr>
      </xdr:nvPicPr>
      <xdr:blipFill>
        <a:blip xmlns:r="http://schemas.openxmlformats.org/officeDocument/2006/relationships" r:embed="rId355" r:link="rId3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808850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218</xdr:row>
      <xdr:rowOff>0</xdr:rowOff>
    </xdr:from>
    <xdr:to>
      <xdr:col>1</xdr:col>
      <xdr:colOff>0</xdr:colOff>
      <xdr:row>219</xdr:row>
      <xdr:rowOff>0</xdr:rowOff>
    </xdr:to>
    <xdr:pic>
      <xdr:nvPicPr>
        <xdr:cNvPr id="182" name="图片 181"/>
        <xdr:cNvPicPr>
          <a:picLocks/>
        </xdr:cNvPicPr>
      </xdr:nvPicPr>
      <xdr:blipFill>
        <a:blip xmlns:r="http://schemas.openxmlformats.org/officeDocument/2006/relationships" r:embed="rId357" r:link="rId3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110412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</xdr:row>
      <xdr:rowOff>0</xdr:rowOff>
    </xdr:from>
    <xdr:to>
      <xdr:col>1</xdr:col>
      <xdr:colOff>0</xdr:colOff>
      <xdr:row>164</xdr:row>
      <xdr:rowOff>0</xdr:rowOff>
    </xdr:to>
    <xdr:pic>
      <xdr:nvPicPr>
        <xdr:cNvPr id="183" name="图片 182"/>
        <xdr:cNvPicPr>
          <a:picLocks/>
        </xdr:cNvPicPr>
      </xdr:nvPicPr>
      <xdr:blipFill>
        <a:blip xmlns:r="http://schemas.openxmlformats.org/officeDocument/2006/relationships" r:embed="rId53" r:link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1694675"/>
          <a:ext cx="276225" cy="2952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169</xdr:row>
      <xdr:rowOff>0</xdr:rowOff>
    </xdr:from>
    <xdr:to>
      <xdr:col>1</xdr:col>
      <xdr:colOff>0</xdr:colOff>
      <xdr:row>170</xdr:row>
      <xdr:rowOff>0</xdr:rowOff>
    </xdr:to>
    <xdr:pic>
      <xdr:nvPicPr>
        <xdr:cNvPr id="184" name="图片 183"/>
        <xdr:cNvPicPr>
          <a:picLocks/>
        </xdr:cNvPicPr>
      </xdr:nvPicPr>
      <xdr:blipFill>
        <a:blip xmlns:r="http://schemas.openxmlformats.org/officeDocument/2006/relationships" r:embed="rId359" r:link="rId3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1989950"/>
          <a:ext cx="276225" cy="295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CA24979C-5919-4D0C-83BC-32EB7CA89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92695622-4EB3-4FA6-8344-6700C01970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52</xdr:row>
      <xdr:rowOff>0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67230F09-EC2C-4549-8B1D-324BA7CCBB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91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55DE23E7-EDC1-49FF-9E94-BC7946025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82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3FAFEDC3-57AC-4379-A858-771B65990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572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0</xdr:colOff>
      <xdr:row>71</xdr:row>
      <xdr:rowOff>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5143F353-9508-4A1F-8E47-B4EC9FA50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63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</xdr:col>
      <xdr:colOff>0</xdr:colOff>
      <xdr:row>67</xdr:row>
      <xdr:rowOff>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9A2BDCC2-EE44-45D6-90E9-AC73F4F9A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954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1</xdr:col>
      <xdr:colOff>0</xdr:colOff>
      <xdr:row>55</xdr:row>
      <xdr:rowOff>0</xdr:rowOff>
    </xdr:to>
    <xdr:pic>
      <xdr:nvPicPr>
        <xdr:cNvPr id="26" name="图片 25">
          <a:extLst>
            <a:ext uri="{FF2B5EF4-FFF2-40B4-BE49-F238E27FC236}">
              <a16:creationId xmlns:a16="http://schemas.microsoft.com/office/drawing/2014/main" id="{6ECE671D-2753-4455-9A3F-E8C460F95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45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29" name="图片 28">
          <a:extLst>
            <a:ext uri="{FF2B5EF4-FFF2-40B4-BE49-F238E27FC236}">
              <a16:creationId xmlns:a16="http://schemas.microsoft.com/office/drawing/2014/main" id="{D3EF8F41-9B4E-4A9B-A517-A98E517EB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335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4B6A5552-DC8F-4875-B388-A9E5C937C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26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809E795D-19DF-4FC5-8974-5D0F96FEC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717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1</xdr:col>
      <xdr:colOff>0</xdr:colOff>
      <xdr:row>68</xdr:row>
      <xdr:rowOff>0</xdr:rowOff>
    </xdr:to>
    <xdr:pic>
      <xdr:nvPicPr>
        <xdr:cNvPr id="39" name="图片 38">
          <a:extLst>
            <a:ext uri="{FF2B5EF4-FFF2-40B4-BE49-F238E27FC236}">
              <a16:creationId xmlns:a16="http://schemas.microsoft.com/office/drawing/2014/main" id="{C2270D36-0ADC-4E97-9E54-B0A444BC4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908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1</xdr:col>
      <xdr:colOff>0</xdr:colOff>
      <xdr:row>65</xdr:row>
      <xdr:rowOff>0</xdr:rowOff>
    </xdr:to>
    <xdr:pic>
      <xdr:nvPicPr>
        <xdr:cNvPr id="42" name="图片 41">
          <a:extLst>
            <a:ext uri="{FF2B5EF4-FFF2-40B4-BE49-F238E27FC236}">
              <a16:creationId xmlns:a16="http://schemas.microsoft.com/office/drawing/2014/main" id="{CB221578-9EC6-4EFB-B433-A810D5715D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098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51</xdr:row>
      <xdr:rowOff>0</xdr:rowOff>
    </xdr:to>
    <xdr:pic>
      <xdr:nvPicPr>
        <xdr:cNvPr id="45" name="图片 44">
          <a:extLst>
            <a:ext uri="{FF2B5EF4-FFF2-40B4-BE49-F238E27FC236}">
              <a16:creationId xmlns:a16="http://schemas.microsoft.com/office/drawing/2014/main" id="{5D9CA1E4-794A-4A7B-85BA-BE0ED1A74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289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1</xdr:col>
      <xdr:colOff>0</xdr:colOff>
      <xdr:row>56</xdr:row>
      <xdr:rowOff>0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B7D90E65-3BAF-46FC-A477-AA1DE4870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480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82CBBD5A-D8F0-410B-8731-D88C18DBC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671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55" name="图片 54">
          <a:extLst>
            <a:ext uri="{FF2B5EF4-FFF2-40B4-BE49-F238E27FC236}">
              <a16:creationId xmlns:a16="http://schemas.microsoft.com/office/drawing/2014/main" id="{9ECC17B5-8275-4B91-BE5F-931D8F39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861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1</xdr:col>
      <xdr:colOff>0</xdr:colOff>
      <xdr:row>63</xdr:row>
      <xdr:rowOff>0</xdr:rowOff>
    </xdr:to>
    <xdr:pic>
      <xdr:nvPicPr>
        <xdr:cNvPr id="58" name="图片 57">
          <a:extLst>
            <a:ext uri="{FF2B5EF4-FFF2-40B4-BE49-F238E27FC236}">
              <a16:creationId xmlns:a16="http://schemas.microsoft.com/office/drawing/2014/main" id="{B50796A1-87A2-4D75-9AB9-840C96816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052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61" name="图片 60">
          <a:extLst>
            <a:ext uri="{FF2B5EF4-FFF2-40B4-BE49-F238E27FC236}">
              <a16:creationId xmlns:a16="http://schemas.microsoft.com/office/drawing/2014/main" id="{63F90EED-26B5-407C-84F5-6EC40F169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243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36</xdr:row>
      <xdr:rowOff>0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CF1E7F9B-76B4-4AC7-A36A-87295CB5C5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434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</xdr:col>
      <xdr:colOff>0</xdr:colOff>
      <xdr:row>70</xdr:row>
      <xdr:rowOff>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F0EF782E-B704-4F9B-AEC7-5957B8739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624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</xdr:col>
      <xdr:colOff>0</xdr:colOff>
      <xdr:row>64</xdr:row>
      <xdr:rowOff>0</xdr:rowOff>
    </xdr:to>
    <xdr:pic>
      <xdr:nvPicPr>
        <xdr:cNvPr id="71" name="图片 70">
          <a:extLst>
            <a:ext uri="{FF2B5EF4-FFF2-40B4-BE49-F238E27FC236}">
              <a16:creationId xmlns:a16="http://schemas.microsoft.com/office/drawing/2014/main" id="{645A2F3C-CD3B-451E-969F-5801CE15A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815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49</xdr:row>
      <xdr:rowOff>0</xdr:rowOff>
    </xdr:to>
    <xdr:pic>
      <xdr:nvPicPr>
        <xdr:cNvPr id="74" name="图片 73">
          <a:extLst>
            <a:ext uri="{FF2B5EF4-FFF2-40B4-BE49-F238E27FC236}">
              <a16:creationId xmlns:a16="http://schemas.microsoft.com/office/drawing/2014/main" id="{4EE4F656-14A5-467D-A21E-B5F9A80DC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006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</xdr:col>
      <xdr:colOff>0</xdr:colOff>
      <xdr:row>69</xdr:row>
      <xdr:rowOff>0</xdr:rowOff>
    </xdr:to>
    <xdr:pic>
      <xdr:nvPicPr>
        <xdr:cNvPr id="77" name="图片 76">
          <a:extLst>
            <a:ext uri="{FF2B5EF4-FFF2-40B4-BE49-F238E27FC236}">
              <a16:creationId xmlns:a16="http://schemas.microsoft.com/office/drawing/2014/main" id="{052CA929-1824-415F-8CF6-899F5622E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197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1</xdr:col>
      <xdr:colOff>0</xdr:colOff>
      <xdr:row>58</xdr:row>
      <xdr:rowOff>0</xdr:rowOff>
    </xdr:to>
    <xdr:pic>
      <xdr:nvPicPr>
        <xdr:cNvPr id="80" name="图片 79">
          <a:extLst>
            <a:ext uri="{FF2B5EF4-FFF2-40B4-BE49-F238E27FC236}">
              <a16:creationId xmlns:a16="http://schemas.microsoft.com/office/drawing/2014/main" id="{9CF91BBD-3EFB-401B-8317-6522582B9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387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84" name="图片 83">
          <a:extLst>
            <a:ext uri="{FF2B5EF4-FFF2-40B4-BE49-F238E27FC236}">
              <a16:creationId xmlns:a16="http://schemas.microsoft.com/office/drawing/2014/main" id="{0D12BA3B-E4D5-4955-A909-4B4888FAF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578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1</xdr:col>
      <xdr:colOff>0</xdr:colOff>
      <xdr:row>66</xdr:row>
      <xdr:rowOff>0</xdr:rowOff>
    </xdr:to>
    <xdr:pic>
      <xdr:nvPicPr>
        <xdr:cNvPr id="87" name="图片 86">
          <a:extLst>
            <a:ext uri="{FF2B5EF4-FFF2-40B4-BE49-F238E27FC236}">
              <a16:creationId xmlns:a16="http://schemas.microsoft.com/office/drawing/2014/main" id="{928113EB-B901-407E-BFE9-504430154C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769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90" name="图片 89">
          <a:extLst>
            <a:ext uri="{FF2B5EF4-FFF2-40B4-BE49-F238E27FC236}">
              <a16:creationId xmlns:a16="http://schemas.microsoft.com/office/drawing/2014/main" id="{B30BA3F5-E519-4113-9A82-DB42D32C2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960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93" name="图片 92">
          <a:extLst>
            <a:ext uri="{FF2B5EF4-FFF2-40B4-BE49-F238E27FC236}">
              <a16:creationId xmlns:a16="http://schemas.microsoft.com/office/drawing/2014/main" id="{45E8C321-813D-4F49-8C0D-A75D52DF7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150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96" name="图片 95">
          <a:extLst>
            <a:ext uri="{FF2B5EF4-FFF2-40B4-BE49-F238E27FC236}">
              <a16:creationId xmlns:a16="http://schemas.microsoft.com/office/drawing/2014/main" id="{BD3F0A61-FDA5-4D8D-AE74-8301EA14D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341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1</xdr:col>
      <xdr:colOff>0</xdr:colOff>
      <xdr:row>54</xdr:row>
      <xdr:rowOff>0</xdr:rowOff>
    </xdr:to>
    <xdr:pic>
      <xdr:nvPicPr>
        <xdr:cNvPr id="100" name="图片 99">
          <a:extLst>
            <a:ext uri="{FF2B5EF4-FFF2-40B4-BE49-F238E27FC236}">
              <a16:creationId xmlns:a16="http://schemas.microsoft.com/office/drawing/2014/main" id="{85058AED-9851-4A13-9A95-3564066C4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532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103" name="图片 102">
          <a:extLst>
            <a:ext uri="{FF2B5EF4-FFF2-40B4-BE49-F238E27FC236}">
              <a16:creationId xmlns:a16="http://schemas.microsoft.com/office/drawing/2014/main" id="{32A85E39-6F65-42BD-9555-24659D211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9723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06" name="图片 105">
          <a:extLst>
            <a:ext uri="{FF2B5EF4-FFF2-40B4-BE49-F238E27FC236}">
              <a16:creationId xmlns:a16="http://schemas.microsoft.com/office/drawing/2014/main" id="{2D7A23BB-ED5C-4A8B-AFD4-7016B02487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1913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109" name="图片 108">
          <a:extLst>
            <a:ext uri="{FF2B5EF4-FFF2-40B4-BE49-F238E27FC236}">
              <a16:creationId xmlns:a16="http://schemas.microsoft.com/office/drawing/2014/main" id="{1DEEDB51-53CC-4335-B532-F9595A9632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104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12" name="图片 111">
          <a:extLst>
            <a:ext uri="{FF2B5EF4-FFF2-40B4-BE49-F238E27FC236}">
              <a16:creationId xmlns:a16="http://schemas.microsoft.com/office/drawing/2014/main" id="{C56A583E-111E-451D-865D-9ECBC74803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95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16" name="图片 115">
          <a:extLst>
            <a:ext uri="{FF2B5EF4-FFF2-40B4-BE49-F238E27FC236}">
              <a16:creationId xmlns:a16="http://schemas.microsoft.com/office/drawing/2014/main" id="{0B15BE78-CFB6-401C-AFB3-4A1C433F9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486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</xdr:col>
      <xdr:colOff>0</xdr:colOff>
      <xdr:row>57</xdr:row>
      <xdr:rowOff>0</xdr:rowOff>
    </xdr:to>
    <xdr:pic>
      <xdr:nvPicPr>
        <xdr:cNvPr id="119" name="图片 118">
          <a:extLst>
            <a:ext uri="{FF2B5EF4-FFF2-40B4-BE49-F238E27FC236}">
              <a16:creationId xmlns:a16="http://schemas.microsoft.com/office/drawing/2014/main" id="{F7AE8983-6345-4252-ABA3-60FF12C8F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676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0</xdr:colOff>
      <xdr:row>22</xdr:row>
      <xdr:rowOff>0</xdr:rowOff>
    </xdr:to>
    <xdr:pic>
      <xdr:nvPicPr>
        <xdr:cNvPr id="122" name="图片 121">
          <a:extLst>
            <a:ext uri="{FF2B5EF4-FFF2-40B4-BE49-F238E27FC236}">
              <a16:creationId xmlns:a16="http://schemas.microsoft.com/office/drawing/2014/main" id="{BA689FFC-230F-4497-8374-1C4B5E17F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867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125" name="图片 124">
          <a:extLst>
            <a:ext uri="{FF2B5EF4-FFF2-40B4-BE49-F238E27FC236}">
              <a16:creationId xmlns:a16="http://schemas.microsoft.com/office/drawing/2014/main" id="{D1617EE1-04BE-4B97-8A0C-E4CFCF7DB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058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128" name="图片 127">
          <a:extLst>
            <a:ext uri="{FF2B5EF4-FFF2-40B4-BE49-F238E27FC236}">
              <a16:creationId xmlns:a16="http://schemas.microsoft.com/office/drawing/2014/main" id="{A7D3B01D-4C7D-46F2-B729-4503C7462D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249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132" name="图片 131">
          <a:extLst>
            <a:ext uri="{FF2B5EF4-FFF2-40B4-BE49-F238E27FC236}">
              <a16:creationId xmlns:a16="http://schemas.microsoft.com/office/drawing/2014/main" id="{8EE18EA5-7C1B-4488-8CE8-9AD24E421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439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135" name="图片 134">
          <a:extLst>
            <a:ext uri="{FF2B5EF4-FFF2-40B4-BE49-F238E27FC236}">
              <a16:creationId xmlns:a16="http://schemas.microsoft.com/office/drawing/2014/main" id="{A9585A14-43F5-40BE-AA53-D354701A9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630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38" name="图片 137">
          <a:extLst>
            <a:ext uri="{FF2B5EF4-FFF2-40B4-BE49-F238E27FC236}">
              <a16:creationId xmlns:a16="http://schemas.microsoft.com/office/drawing/2014/main" id="{987DD2C3-A2DE-4BF7-B94A-56C5DA581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821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141" name="图片 140">
          <a:extLst>
            <a:ext uri="{FF2B5EF4-FFF2-40B4-BE49-F238E27FC236}">
              <a16:creationId xmlns:a16="http://schemas.microsoft.com/office/drawing/2014/main" id="{8955BE62-4E9A-4F85-B115-642679378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012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144" name="图片 143">
          <a:extLst>
            <a:ext uri="{FF2B5EF4-FFF2-40B4-BE49-F238E27FC236}">
              <a16:creationId xmlns:a16="http://schemas.microsoft.com/office/drawing/2014/main" id="{3B22E276-144F-4F73-960B-68EFF9B60D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202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</xdr:col>
      <xdr:colOff>0</xdr:colOff>
      <xdr:row>60</xdr:row>
      <xdr:rowOff>0</xdr:rowOff>
    </xdr:to>
    <xdr:pic>
      <xdr:nvPicPr>
        <xdr:cNvPr id="148" name="图片 147">
          <a:extLst>
            <a:ext uri="{FF2B5EF4-FFF2-40B4-BE49-F238E27FC236}">
              <a16:creationId xmlns:a16="http://schemas.microsoft.com/office/drawing/2014/main" id="{6FA463DA-4839-42A7-8793-1E1DE82CF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393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151" name="图片 150">
          <a:extLst>
            <a:ext uri="{FF2B5EF4-FFF2-40B4-BE49-F238E27FC236}">
              <a16:creationId xmlns:a16="http://schemas.microsoft.com/office/drawing/2014/main" id="{4A30B400-650F-4E58-B955-BC44023D2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584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54" name="图片 153">
          <a:extLst>
            <a:ext uri="{FF2B5EF4-FFF2-40B4-BE49-F238E27FC236}">
              <a16:creationId xmlns:a16="http://schemas.microsoft.com/office/drawing/2014/main" id="{3203AB91-D0F2-48A2-BD2A-3CC5DED85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775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57" name="图片 156">
          <a:extLst>
            <a:ext uri="{FF2B5EF4-FFF2-40B4-BE49-F238E27FC236}">
              <a16:creationId xmlns:a16="http://schemas.microsoft.com/office/drawing/2014/main" id="{9B6269EE-09D5-4B93-92D6-2CF50955DC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965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160" name="图片 159">
          <a:extLst>
            <a:ext uri="{FF2B5EF4-FFF2-40B4-BE49-F238E27FC236}">
              <a16:creationId xmlns:a16="http://schemas.microsoft.com/office/drawing/2014/main" id="{CC0B731E-A140-4B02-9BD6-75E3B4720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156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164" name="图片 163">
          <a:extLst>
            <a:ext uri="{FF2B5EF4-FFF2-40B4-BE49-F238E27FC236}">
              <a16:creationId xmlns:a16="http://schemas.microsoft.com/office/drawing/2014/main" id="{9B4DA88F-D235-4A35-87BA-04E09DEEE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1347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1</xdr:col>
      <xdr:colOff>0</xdr:colOff>
      <xdr:row>62</xdr:row>
      <xdr:rowOff>0</xdr:rowOff>
    </xdr:to>
    <xdr:pic>
      <xdr:nvPicPr>
        <xdr:cNvPr id="167" name="图片 166">
          <a:extLst>
            <a:ext uri="{FF2B5EF4-FFF2-40B4-BE49-F238E27FC236}">
              <a16:creationId xmlns:a16="http://schemas.microsoft.com/office/drawing/2014/main" id="{D1505EE7-56B6-441C-8AE0-A8A5AC228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3538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45</xdr:row>
      <xdr:rowOff>0</xdr:rowOff>
    </xdr:to>
    <xdr:pic>
      <xdr:nvPicPr>
        <xdr:cNvPr id="170" name="图片 169">
          <a:extLst>
            <a:ext uri="{FF2B5EF4-FFF2-40B4-BE49-F238E27FC236}">
              <a16:creationId xmlns:a16="http://schemas.microsoft.com/office/drawing/2014/main" id="{0940A637-B00D-463A-928B-611C27658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5728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173" name="图片 172">
          <a:extLst>
            <a:ext uri="{FF2B5EF4-FFF2-40B4-BE49-F238E27FC236}">
              <a16:creationId xmlns:a16="http://schemas.microsoft.com/office/drawing/2014/main" id="{1A686595-F5BC-4371-AB51-C429800ED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7919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</xdr:col>
      <xdr:colOff>0</xdr:colOff>
      <xdr:row>61</xdr:row>
      <xdr:rowOff>0</xdr:rowOff>
    </xdr:to>
    <xdr:pic>
      <xdr:nvPicPr>
        <xdr:cNvPr id="176" name="图片 175">
          <a:extLst>
            <a:ext uri="{FF2B5EF4-FFF2-40B4-BE49-F238E27FC236}">
              <a16:creationId xmlns:a16="http://schemas.microsoft.com/office/drawing/2014/main" id="{228AFF87-DF88-4E97-9C6C-A3E345C6B6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0110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179" name="图片 178">
          <a:extLst>
            <a:ext uri="{FF2B5EF4-FFF2-40B4-BE49-F238E27FC236}">
              <a16:creationId xmlns:a16="http://schemas.microsoft.com/office/drawing/2014/main" id="{33F96E67-9101-4B34-801E-9DB4412BC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301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181" name="图片 180">
          <a:extLst>
            <a:ext uri="{FF2B5EF4-FFF2-40B4-BE49-F238E27FC236}">
              <a16:creationId xmlns:a16="http://schemas.microsoft.com/office/drawing/2014/main" id="{4F9D6833-A778-4971-AF0C-246A11F90D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4491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184" name="图片 183">
          <a:extLst>
            <a:ext uri="{FF2B5EF4-FFF2-40B4-BE49-F238E27FC236}">
              <a16:creationId xmlns:a16="http://schemas.microsoft.com/office/drawing/2014/main" id="{F49FCA53-6F49-49C5-AC88-7E71D9BA65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6682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47</xdr:row>
      <xdr:rowOff>0</xdr:rowOff>
    </xdr:to>
    <xdr:pic>
      <xdr:nvPicPr>
        <xdr:cNvPr id="187" name="图片 186">
          <a:extLst>
            <a:ext uri="{FF2B5EF4-FFF2-40B4-BE49-F238E27FC236}">
              <a16:creationId xmlns:a16="http://schemas.microsoft.com/office/drawing/2014/main" id="{3CEEC6E2-F911-45D2-8576-41B8E3E92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8873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34</xdr:row>
      <xdr:rowOff>0</xdr:rowOff>
    </xdr:to>
    <xdr:pic>
      <xdr:nvPicPr>
        <xdr:cNvPr id="189" name="图片 188">
          <a:extLst>
            <a:ext uri="{FF2B5EF4-FFF2-40B4-BE49-F238E27FC236}">
              <a16:creationId xmlns:a16="http://schemas.microsoft.com/office/drawing/2014/main" id="{98D41B50-B07B-4E7C-8ABB-F9C0A4F09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1064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192" name="图片 191">
          <a:extLst>
            <a:ext uri="{FF2B5EF4-FFF2-40B4-BE49-F238E27FC236}">
              <a16:creationId xmlns:a16="http://schemas.microsoft.com/office/drawing/2014/main" id="{FD664BB9-46EE-4C30-AABE-99ADB1FDA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254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95" name="图片 194">
          <a:extLst>
            <a:ext uri="{FF2B5EF4-FFF2-40B4-BE49-F238E27FC236}">
              <a16:creationId xmlns:a16="http://schemas.microsoft.com/office/drawing/2014/main" id="{7FC664DF-B515-457E-8604-B8ABE7103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445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0</xdr:rowOff>
    </xdr:to>
    <xdr:pic>
      <xdr:nvPicPr>
        <xdr:cNvPr id="197" name="图片 196">
          <a:extLst>
            <a:ext uri="{FF2B5EF4-FFF2-40B4-BE49-F238E27FC236}">
              <a16:creationId xmlns:a16="http://schemas.microsoft.com/office/drawing/2014/main" id="{B6A6DA2A-54C2-495A-ADF8-5EE493422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7636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00" name="图片 199">
          <a:extLst>
            <a:ext uri="{FF2B5EF4-FFF2-40B4-BE49-F238E27FC236}">
              <a16:creationId xmlns:a16="http://schemas.microsoft.com/office/drawing/2014/main" id="{863B7F69-C2BD-4259-A885-895DB488F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9827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03" name="图片 202">
          <a:extLst>
            <a:ext uri="{FF2B5EF4-FFF2-40B4-BE49-F238E27FC236}">
              <a16:creationId xmlns:a16="http://schemas.microsoft.com/office/drawing/2014/main" id="{A7411688-9F5D-437F-8D9B-8EB9515A5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017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05" name="图片 204">
          <a:extLst>
            <a:ext uri="{FF2B5EF4-FFF2-40B4-BE49-F238E27FC236}">
              <a16:creationId xmlns:a16="http://schemas.microsoft.com/office/drawing/2014/main" id="{EB956329-910D-4CF8-B613-AE25D0942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4208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</xdr:col>
      <xdr:colOff>0</xdr:colOff>
      <xdr:row>59</xdr:row>
      <xdr:rowOff>0</xdr:rowOff>
    </xdr:to>
    <xdr:pic>
      <xdr:nvPicPr>
        <xdr:cNvPr id="208" name="图片 207">
          <a:extLst>
            <a:ext uri="{FF2B5EF4-FFF2-40B4-BE49-F238E27FC236}">
              <a16:creationId xmlns:a16="http://schemas.microsoft.com/office/drawing/2014/main" id="{4A65514A-884C-43EE-9151-9D4C5414B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399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50</xdr:row>
      <xdr:rowOff>0</xdr:rowOff>
    </xdr:to>
    <xdr:pic>
      <xdr:nvPicPr>
        <xdr:cNvPr id="211" name="图片 210">
          <a:extLst>
            <a:ext uri="{FF2B5EF4-FFF2-40B4-BE49-F238E27FC236}">
              <a16:creationId xmlns:a16="http://schemas.microsoft.com/office/drawing/2014/main" id="{9200ED30-E59D-4ECA-BB97-F36FB41AFB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590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213" name="图片 212">
          <a:extLst>
            <a:ext uri="{FF2B5EF4-FFF2-40B4-BE49-F238E27FC236}">
              <a16:creationId xmlns:a16="http://schemas.microsoft.com/office/drawing/2014/main" id="{E60EFA1F-45DE-4F20-A025-BD7B29BE1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0780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16" name="图片 215">
          <a:extLst>
            <a:ext uri="{FF2B5EF4-FFF2-40B4-BE49-F238E27FC236}">
              <a16:creationId xmlns:a16="http://schemas.microsoft.com/office/drawing/2014/main" id="{448BD794-4E08-4BE3-AB13-41E1A5A9B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971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1</xdr:col>
      <xdr:colOff>0</xdr:colOff>
      <xdr:row>72</xdr:row>
      <xdr:rowOff>0</xdr:rowOff>
    </xdr:to>
    <xdr:pic>
      <xdr:nvPicPr>
        <xdr:cNvPr id="219" name="图片 218">
          <a:extLst>
            <a:ext uri="{FF2B5EF4-FFF2-40B4-BE49-F238E27FC236}">
              <a16:creationId xmlns:a16="http://schemas.microsoft.com/office/drawing/2014/main" id="{AEF9A17F-A3CD-4002-ACCD-1E97F6E30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5162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1</xdr:col>
      <xdr:colOff>0</xdr:colOff>
      <xdr:row>73</xdr:row>
      <xdr:rowOff>0</xdr:rowOff>
    </xdr:to>
    <xdr:pic>
      <xdr:nvPicPr>
        <xdr:cNvPr id="221" name="图片 220">
          <a:extLst>
            <a:ext uri="{FF2B5EF4-FFF2-40B4-BE49-F238E27FC236}">
              <a16:creationId xmlns:a16="http://schemas.microsoft.com/office/drawing/2014/main" id="{63FF4D2B-835B-4130-AC7D-25FBD7702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353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1</xdr:col>
      <xdr:colOff>0</xdr:colOff>
      <xdr:row>74</xdr:row>
      <xdr:rowOff>0</xdr:rowOff>
    </xdr:to>
    <xdr:pic>
      <xdr:nvPicPr>
        <xdr:cNvPr id="224" name="图片 223">
          <a:extLst>
            <a:ext uri="{FF2B5EF4-FFF2-40B4-BE49-F238E27FC236}">
              <a16:creationId xmlns:a16="http://schemas.microsoft.com/office/drawing/2014/main" id="{FC78F27E-2E9F-495D-AEE9-E4563A5A4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9543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1</xdr:col>
      <xdr:colOff>0</xdr:colOff>
      <xdr:row>75</xdr:row>
      <xdr:rowOff>0</xdr:rowOff>
    </xdr:to>
    <xdr:pic>
      <xdr:nvPicPr>
        <xdr:cNvPr id="227" name="图片 226">
          <a:extLst>
            <a:ext uri="{FF2B5EF4-FFF2-40B4-BE49-F238E27FC236}">
              <a16:creationId xmlns:a16="http://schemas.microsoft.com/office/drawing/2014/main" id="{970B1BC4-724C-4240-8750-01573A23A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1734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1</xdr:col>
      <xdr:colOff>0</xdr:colOff>
      <xdr:row>76</xdr:row>
      <xdr:rowOff>0</xdr:rowOff>
    </xdr:to>
    <xdr:pic>
      <xdr:nvPicPr>
        <xdr:cNvPr id="229" name="图片 228">
          <a:extLst>
            <a:ext uri="{FF2B5EF4-FFF2-40B4-BE49-F238E27FC236}">
              <a16:creationId xmlns:a16="http://schemas.microsoft.com/office/drawing/2014/main" id="{31E6B485-4E82-4CEE-BA41-626E88653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925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1</xdr:col>
      <xdr:colOff>0</xdr:colOff>
      <xdr:row>77</xdr:row>
      <xdr:rowOff>0</xdr:rowOff>
    </xdr:to>
    <xdr:pic>
      <xdr:nvPicPr>
        <xdr:cNvPr id="232" name="图片 231">
          <a:extLst>
            <a:ext uri="{FF2B5EF4-FFF2-40B4-BE49-F238E27FC236}">
              <a16:creationId xmlns:a16="http://schemas.microsoft.com/office/drawing/2014/main" id="{58A0A902-A91B-46A3-AD42-357E6A979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 r:link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6116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</xdr:col>
      <xdr:colOff>0</xdr:colOff>
      <xdr:row>78</xdr:row>
      <xdr:rowOff>0</xdr:rowOff>
    </xdr:to>
    <xdr:pic>
      <xdr:nvPicPr>
        <xdr:cNvPr id="235" name="图片 234">
          <a:extLst>
            <a:ext uri="{FF2B5EF4-FFF2-40B4-BE49-F238E27FC236}">
              <a16:creationId xmlns:a16="http://schemas.microsoft.com/office/drawing/2014/main" id="{762A897E-E390-4CC1-85CD-F7BF906B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8306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</xdr:col>
      <xdr:colOff>0</xdr:colOff>
      <xdr:row>79</xdr:row>
      <xdr:rowOff>0</xdr:rowOff>
    </xdr:to>
    <xdr:pic>
      <xdr:nvPicPr>
        <xdr:cNvPr id="237" name="图片 236">
          <a:extLst>
            <a:ext uri="{FF2B5EF4-FFF2-40B4-BE49-F238E27FC236}">
              <a16:creationId xmlns:a16="http://schemas.microsoft.com/office/drawing/2014/main" id="{26C918F0-5245-4AFC-A8AD-BB6893470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 r:link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0497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1</xdr:col>
      <xdr:colOff>0</xdr:colOff>
      <xdr:row>80</xdr:row>
      <xdr:rowOff>0</xdr:rowOff>
    </xdr:to>
    <xdr:pic>
      <xdr:nvPicPr>
        <xdr:cNvPr id="240" name="图片 239">
          <a:extLst>
            <a:ext uri="{FF2B5EF4-FFF2-40B4-BE49-F238E27FC236}">
              <a16:creationId xmlns:a16="http://schemas.microsoft.com/office/drawing/2014/main" id="{7F0A74FA-7BC3-4536-ABA8-7E926652D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688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1</xdr:col>
      <xdr:colOff>0</xdr:colOff>
      <xdr:row>81</xdr:row>
      <xdr:rowOff>0</xdr:rowOff>
    </xdr:to>
    <xdr:pic>
      <xdr:nvPicPr>
        <xdr:cNvPr id="243" name="图片 242">
          <a:extLst>
            <a:ext uri="{FF2B5EF4-FFF2-40B4-BE49-F238E27FC236}">
              <a16:creationId xmlns:a16="http://schemas.microsoft.com/office/drawing/2014/main" id="{80D48B92-2BF7-4F02-A4FF-EE5D5518B0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 r:link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4879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1</xdr:col>
      <xdr:colOff>0</xdr:colOff>
      <xdr:row>82</xdr:row>
      <xdr:rowOff>0</xdr:rowOff>
    </xdr:to>
    <xdr:pic>
      <xdr:nvPicPr>
        <xdr:cNvPr id="245" name="图片 244">
          <a:extLst>
            <a:ext uri="{FF2B5EF4-FFF2-40B4-BE49-F238E27FC236}">
              <a16:creationId xmlns:a16="http://schemas.microsoft.com/office/drawing/2014/main" id="{06F38356-4992-436B-8295-D2096D756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7069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1</xdr:col>
      <xdr:colOff>0</xdr:colOff>
      <xdr:row>83</xdr:row>
      <xdr:rowOff>0</xdr:rowOff>
    </xdr:to>
    <xdr:pic>
      <xdr:nvPicPr>
        <xdr:cNvPr id="248" name="图片 247">
          <a:extLst>
            <a:ext uri="{FF2B5EF4-FFF2-40B4-BE49-F238E27FC236}">
              <a16:creationId xmlns:a16="http://schemas.microsoft.com/office/drawing/2014/main" id="{B75652EB-ED9A-41CB-8896-3870B748C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9260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1</xdr:col>
      <xdr:colOff>0</xdr:colOff>
      <xdr:row>84</xdr:row>
      <xdr:rowOff>0</xdr:rowOff>
    </xdr:to>
    <xdr:pic>
      <xdr:nvPicPr>
        <xdr:cNvPr id="251" name="图片 250">
          <a:extLst>
            <a:ext uri="{FF2B5EF4-FFF2-40B4-BE49-F238E27FC236}">
              <a16:creationId xmlns:a16="http://schemas.microsoft.com/office/drawing/2014/main" id="{00191BE3-FFCD-4A96-98DF-AB59EDCAD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14512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1</xdr:col>
      <xdr:colOff>0</xdr:colOff>
      <xdr:row>85</xdr:row>
      <xdr:rowOff>0</xdr:rowOff>
    </xdr:to>
    <xdr:pic>
      <xdr:nvPicPr>
        <xdr:cNvPr id="253" name="图片 252">
          <a:extLst>
            <a:ext uri="{FF2B5EF4-FFF2-40B4-BE49-F238E27FC236}">
              <a16:creationId xmlns:a16="http://schemas.microsoft.com/office/drawing/2014/main" id="{5E1015C5-4625-4D7A-A055-14939A1FC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36420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1</xdr:col>
      <xdr:colOff>0</xdr:colOff>
      <xdr:row>86</xdr:row>
      <xdr:rowOff>0</xdr:rowOff>
    </xdr:to>
    <xdr:pic>
      <xdr:nvPicPr>
        <xdr:cNvPr id="256" name="图片 255">
          <a:extLst>
            <a:ext uri="{FF2B5EF4-FFF2-40B4-BE49-F238E27FC236}">
              <a16:creationId xmlns:a16="http://schemas.microsoft.com/office/drawing/2014/main" id="{6244BD45-D7C3-48DB-8655-E57E5C228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83275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1</xdr:col>
      <xdr:colOff>0</xdr:colOff>
      <xdr:row>87</xdr:row>
      <xdr:rowOff>0</xdr:rowOff>
    </xdr:to>
    <xdr:pic>
      <xdr:nvPicPr>
        <xdr:cNvPr id="259" name="图片 258">
          <a:extLst>
            <a:ext uri="{FF2B5EF4-FFF2-40B4-BE49-F238E27FC236}">
              <a16:creationId xmlns:a16="http://schemas.microsoft.com/office/drawing/2014/main" id="{91A36D94-F4D6-4B48-A91F-F62A63C2EA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802350"/>
          <a:ext cx="2190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1</xdr:col>
      <xdr:colOff>0</xdr:colOff>
      <xdr:row>88</xdr:row>
      <xdr:rowOff>0</xdr:rowOff>
    </xdr:to>
    <xdr:pic>
      <xdr:nvPicPr>
        <xdr:cNvPr id="262" name="图片 261">
          <a:extLst>
            <a:ext uri="{FF2B5EF4-FFF2-40B4-BE49-F238E27FC236}">
              <a16:creationId xmlns:a16="http://schemas.microsoft.com/office/drawing/2014/main" id="{74E1C9A4-87BA-495B-871F-708187ED15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21425"/>
          <a:ext cx="219075" cy="2190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CA0E97C7-FEDB-4526-B83F-A6873AD063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38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2C54D583-9FCD-4023-931D-3B4C2AF6A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34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47DD1606-6FF1-4E57-9D3F-05678ED29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29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3D11A369-BB91-4BA7-AA5C-699655084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525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B257F4A1-C857-4190-BA35-62A145EB7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620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ECF3D6D9-DE50-49F2-8B08-1FB5F48EAA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16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D9FB941D-4963-4A02-90BF-480FF0005D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811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3872AD5D-A69B-45D2-ADB3-87FA16132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907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C4F74FE0-06CC-4A0A-B96B-7591C73EF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002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A7922B18-5C88-4E83-BB3E-A79496E50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098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9275DA98-AF55-45E4-B5DF-CA3E8C1A2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193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15F62525-CC8A-49B7-8ABE-6B83A9697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289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C366DB81-A7AB-4987-A124-31BA48B63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384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85462F4D-E47D-4CC3-8634-CC6A3E53A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480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4F4F8AA5-90D5-4F14-AF36-169BC68642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575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698FA3D0-AD59-49A5-B1E8-55AD45FCD4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671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3E2B4836-9E37-4A90-9FD3-2F56465C3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766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72" name="图片 71">
          <a:extLst>
            <a:ext uri="{FF2B5EF4-FFF2-40B4-BE49-F238E27FC236}">
              <a16:creationId xmlns:a16="http://schemas.microsoft.com/office/drawing/2014/main" id="{EA0B440E-A0B1-4287-9B16-D84E7EAC9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862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76" name="图片 75">
          <a:extLst>
            <a:ext uri="{FF2B5EF4-FFF2-40B4-BE49-F238E27FC236}">
              <a16:creationId xmlns:a16="http://schemas.microsoft.com/office/drawing/2014/main" id="{C7386947-E86D-46D7-BFA2-77A1A124E0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2957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80" name="图片 79">
          <a:extLst>
            <a:ext uri="{FF2B5EF4-FFF2-40B4-BE49-F238E27FC236}">
              <a16:creationId xmlns:a16="http://schemas.microsoft.com/office/drawing/2014/main" id="{AEA3BC4E-9F78-4AEF-BDA4-45022273C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053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0</xdr:colOff>
      <xdr:row>22</xdr:row>
      <xdr:rowOff>0</xdr:rowOff>
    </xdr:to>
    <xdr:pic>
      <xdr:nvPicPr>
        <xdr:cNvPr id="84" name="图片 83">
          <a:extLst>
            <a:ext uri="{FF2B5EF4-FFF2-40B4-BE49-F238E27FC236}">
              <a16:creationId xmlns:a16="http://schemas.microsoft.com/office/drawing/2014/main" id="{EF2BEE6C-9644-45E7-B647-2C899F00C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148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88" name="图片 87">
          <a:extLst>
            <a:ext uri="{FF2B5EF4-FFF2-40B4-BE49-F238E27FC236}">
              <a16:creationId xmlns:a16="http://schemas.microsoft.com/office/drawing/2014/main" id="{39150767-ACCB-4930-BD8A-3A76E4BEFD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9244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0</xdr:rowOff>
    </xdr:to>
    <xdr:pic>
      <xdr:nvPicPr>
        <xdr:cNvPr id="92" name="图片 91">
          <a:extLst>
            <a:ext uri="{FF2B5EF4-FFF2-40B4-BE49-F238E27FC236}">
              <a16:creationId xmlns:a16="http://schemas.microsoft.com/office/drawing/2014/main" id="{491DB8D3-A10D-4CF6-88CA-A8410C4E3A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339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96" name="图片 95">
          <a:extLst>
            <a:ext uri="{FF2B5EF4-FFF2-40B4-BE49-F238E27FC236}">
              <a16:creationId xmlns:a16="http://schemas.microsoft.com/office/drawing/2014/main" id="{2CE6335D-467F-4A1E-8B69-24F80CCA9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3435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00" name="图片 99">
          <a:extLst>
            <a:ext uri="{FF2B5EF4-FFF2-40B4-BE49-F238E27FC236}">
              <a16:creationId xmlns:a16="http://schemas.microsoft.com/office/drawing/2014/main" id="{FBE2569C-2A55-4BCB-813C-FC4407D35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5530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104" name="图片 103">
          <a:extLst>
            <a:ext uri="{FF2B5EF4-FFF2-40B4-BE49-F238E27FC236}">
              <a16:creationId xmlns:a16="http://schemas.microsoft.com/office/drawing/2014/main" id="{65254FDD-83A4-4AD5-BA59-92A29E339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626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06" name="图片 105">
          <a:extLst>
            <a:ext uri="{FF2B5EF4-FFF2-40B4-BE49-F238E27FC236}">
              <a16:creationId xmlns:a16="http://schemas.microsoft.com/office/drawing/2014/main" id="{04198647-30B5-4D19-B28A-E291138E77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9721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08" name="图片 107">
          <a:extLst>
            <a:ext uri="{FF2B5EF4-FFF2-40B4-BE49-F238E27FC236}">
              <a16:creationId xmlns:a16="http://schemas.microsoft.com/office/drawing/2014/main" id="{94FC6CAC-36F7-43EF-9587-B6F6342F3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817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110" name="图片 109">
          <a:extLst>
            <a:ext uri="{FF2B5EF4-FFF2-40B4-BE49-F238E27FC236}">
              <a16:creationId xmlns:a16="http://schemas.microsoft.com/office/drawing/2014/main" id="{8431CD6B-2EF8-4D50-BDBA-A534A9763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912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112" name="图片 111">
          <a:extLst>
            <a:ext uri="{FF2B5EF4-FFF2-40B4-BE49-F238E27FC236}">
              <a16:creationId xmlns:a16="http://schemas.microsoft.com/office/drawing/2014/main" id="{6B7B05E1-6239-471F-BC81-F3C496C0C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008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14" name="图片 113">
          <a:extLst>
            <a:ext uri="{FF2B5EF4-FFF2-40B4-BE49-F238E27FC236}">
              <a16:creationId xmlns:a16="http://schemas.microsoft.com/office/drawing/2014/main" id="{4B068C60-321B-43EF-8BEA-86C9FA92A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103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116" name="图片 115">
          <a:extLst>
            <a:ext uri="{FF2B5EF4-FFF2-40B4-BE49-F238E27FC236}">
              <a16:creationId xmlns:a16="http://schemas.microsoft.com/office/drawing/2014/main" id="{608F92F9-C2D7-4CC6-9DCE-E526823B4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199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34</xdr:row>
      <xdr:rowOff>0</xdr:rowOff>
    </xdr:to>
    <xdr:pic>
      <xdr:nvPicPr>
        <xdr:cNvPr id="118" name="图片 117">
          <a:extLst>
            <a:ext uri="{FF2B5EF4-FFF2-40B4-BE49-F238E27FC236}">
              <a16:creationId xmlns:a16="http://schemas.microsoft.com/office/drawing/2014/main" id="{B2E5FD9F-CC1D-43AA-A0F0-679EF86E4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294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20" name="图片 119">
          <a:extLst>
            <a:ext uri="{FF2B5EF4-FFF2-40B4-BE49-F238E27FC236}">
              <a16:creationId xmlns:a16="http://schemas.microsoft.com/office/drawing/2014/main" id="{991F7FE2-330D-4F3C-9586-BF3A15F3F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390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36</xdr:row>
      <xdr:rowOff>0</xdr:rowOff>
    </xdr:to>
    <xdr:pic>
      <xdr:nvPicPr>
        <xdr:cNvPr id="122" name="图片 121">
          <a:extLst>
            <a:ext uri="{FF2B5EF4-FFF2-40B4-BE49-F238E27FC236}">
              <a16:creationId xmlns:a16="http://schemas.microsoft.com/office/drawing/2014/main" id="{78C84367-9FD3-40D7-8712-8BC48C095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485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124" name="图片 123">
          <a:extLst>
            <a:ext uri="{FF2B5EF4-FFF2-40B4-BE49-F238E27FC236}">
              <a16:creationId xmlns:a16="http://schemas.microsoft.com/office/drawing/2014/main" id="{C8ECF172-FD9B-41EC-BD67-41E93450F7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581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26" name="图片 125">
          <a:extLst>
            <a:ext uri="{FF2B5EF4-FFF2-40B4-BE49-F238E27FC236}">
              <a16:creationId xmlns:a16="http://schemas.microsoft.com/office/drawing/2014/main" id="{E87C4077-42F0-4743-B374-027DB0C34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676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128" name="图片 127">
          <a:extLst>
            <a:ext uri="{FF2B5EF4-FFF2-40B4-BE49-F238E27FC236}">
              <a16:creationId xmlns:a16="http://schemas.microsoft.com/office/drawing/2014/main" id="{1BCDC67E-23EA-49B0-AF8C-A5B72228D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772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pic>
      <xdr:nvPicPr>
        <xdr:cNvPr id="130" name="图片 129">
          <a:extLst>
            <a:ext uri="{FF2B5EF4-FFF2-40B4-BE49-F238E27FC236}">
              <a16:creationId xmlns:a16="http://schemas.microsoft.com/office/drawing/2014/main" id="{8F4DDA64-A39B-4A73-9194-9B75954070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867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132" name="图片 131">
          <a:extLst>
            <a:ext uri="{FF2B5EF4-FFF2-40B4-BE49-F238E27FC236}">
              <a16:creationId xmlns:a16="http://schemas.microsoft.com/office/drawing/2014/main" id="{E9552CD4-7FC4-420F-A52B-46FF9A564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6963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134" name="图片 133">
          <a:extLst>
            <a:ext uri="{FF2B5EF4-FFF2-40B4-BE49-F238E27FC236}">
              <a16:creationId xmlns:a16="http://schemas.microsoft.com/office/drawing/2014/main" id="{94879EC5-8439-4BFB-A795-204397893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058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136" name="图片 135">
          <a:extLst>
            <a:ext uri="{FF2B5EF4-FFF2-40B4-BE49-F238E27FC236}">
              <a16:creationId xmlns:a16="http://schemas.microsoft.com/office/drawing/2014/main" id="{CE2A3AA2-C88D-46DF-BFA5-39291F1BE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154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138" name="图片 137">
          <a:extLst>
            <a:ext uri="{FF2B5EF4-FFF2-40B4-BE49-F238E27FC236}">
              <a16:creationId xmlns:a16="http://schemas.microsoft.com/office/drawing/2014/main" id="{A4EA0110-C228-4F9D-93BC-A7159AAA0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249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45</xdr:row>
      <xdr:rowOff>0</xdr:rowOff>
    </xdr:to>
    <xdr:pic>
      <xdr:nvPicPr>
        <xdr:cNvPr id="140" name="图片 139">
          <a:extLst>
            <a:ext uri="{FF2B5EF4-FFF2-40B4-BE49-F238E27FC236}">
              <a16:creationId xmlns:a16="http://schemas.microsoft.com/office/drawing/2014/main" id="{A64B32C8-AC76-4649-9E6C-EECFB4987D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345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142" name="图片 141">
          <a:extLst>
            <a:ext uri="{FF2B5EF4-FFF2-40B4-BE49-F238E27FC236}">
              <a16:creationId xmlns:a16="http://schemas.microsoft.com/office/drawing/2014/main" id="{762119BB-EDFC-4E2F-8432-6698120C9E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7440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47</xdr:row>
      <xdr:rowOff>0</xdr:rowOff>
    </xdr:to>
    <xdr:pic>
      <xdr:nvPicPr>
        <xdr:cNvPr id="144" name="图片 143">
          <a:extLst>
            <a:ext uri="{FF2B5EF4-FFF2-40B4-BE49-F238E27FC236}">
              <a16:creationId xmlns:a16="http://schemas.microsoft.com/office/drawing/2014/main" id="{30A0942F-6710-4AD6-95C0-EE8C92F4D2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9536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146" name="图片 145">
          <a:extLst>
            <a:ext uri="{FF2B5EF4-FFF2-40B4-BE49-F238E27FC236}">
              <a16:creationId xmlns:a16="http://schemas.microsoft.com/office/drawing/2014/main" id="{D7C9BB8F-9438-4F9B-9F23-C3BE46C64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631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49</xdr:row>
      <xdr:rowOff>0</xdr:rowOff>
    </xdr:to>
    <xdr:pic>
      <xdr:nvPicPr>
        <xdr:cNvPr id="148" name="图片 147">
          <a:extLst>
            <a:ext uri="{FF2B5EF4-FFF2-40B4-BE49-F238E27FC236}">
              <a16:creationId xmlns:a16="http://schemas.microsoft.com/office/drawing/2014/main" id="{FCA1E4CB-71C6-4BE1-A4BB-053813A12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727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50</xdr:row>
      <xdr:rowOff>0</xdr:rowOff>
    </xdr:to>
    <xdr:pic>
      <xdr:nvPicPr>
        <xdr:cNvPr id="150" name="图片 149">
          <a:extLst>
            <a:ext uri="{FF2B5EF4-FFF2-40B4-BE49-F238E27FC236}">
              <a16:creationId xmlns:a16="http://schemas.microsoft.com/office/drawing/2014/main" id="{A41F14F5-FC2D-4245-B44E-138955A55B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5822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51</xdr:row>
      <xdr:rowOff>0</xdr:rowOff>
    </xdr:to>
    <xdr:pic>
      <xdr:nvPicPr>
        <xdr:cNvPr id="152" name="图片 151">
          <a:extLst>
            <a:ext uri="{FF2B5EF4-FFF2-40B4-BE49-F238E27FC236}">
              <a16:creationId xmlns:a16="http://schemas.microsoft.com/office/drawing/2014/main" id="{328D8C38-5892-49E4-BF17-DEFD0F68F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79182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52</xdr:row>
      <xdr:rowOff>0</xdr:rowOff>
    </xdr:to>
    <xdr:pic>
      <xdr:nvPicPr>
        <xdr:cNvPr id="154" name="图片 153">
          <a:extLst>
            <a:ext uri="{FF2B5EF4-FFF2-40B4-BE49-F238E27FC236}">
              <a16:creationId xmlns:a16="http://schemas.microsoft.com/office/drawing/2014/main" id="{7329A101-DC11-4253-B562-52F6B8A57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001375"/>
          <a:ext cx="228600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156" name="图片 155">
          <a:extLst>
            <a:ext uri="{FF2B5EF4-FFF2-40B4-BE49-F238E27FC236}">
              <a16:creationId xmlns:a16="http://schemas.microsoft.com/office/drawing/2014/main" id="{9DFF902B-FDBE-4EA3-89C8-99DA2610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210925"/>
          <a:ext cx="228600" cy="2095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94753AA6-FAAF-41E2-A206-EF75D3F024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9E95EF65-18A2-4D5C-A0EE-5EF18A74C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00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A2DFE96E-F710-4021-A0A2-7E1998573A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91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512E1487-B9A6-4C60-A25E-90C3891A8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82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5CA61B91-A9C6-498D-81FC-F0262FC1A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572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5BF76953-3E38-4BA4-8BB2-F278E5842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63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6BACEEF0-3052-4124-9D9B-E40EB5967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954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CB211CA4-05F4-4C65-A732-269488B96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45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0695EB43-7394-4A50-9A08-3A9BEA63A5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335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65F7D670-DF8F-42B4-8845-C2C3DCAF4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26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BF1322CE-A50E-4BC4-820E-42707C622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717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CCF8D78E-F981-46A3-821A-31BAB7D7F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908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7530E32A-BCE4-42D5-84A0-DE6FBABDC7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098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0C2B1C3D-C555-486B-9BA1-C164398C43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289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AF8D9643-9F9B-4DA2-A6E7-4DB610AED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480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AEBC28E1-0632-4375-ACE7-82C282C75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671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8DE9AAE0-09CE-4171-A767-24B877688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861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72" name="图片 71">
          <a:extLst>
            <a:ext uri="{FF2B5EF4-FFF2-40B4-BE49-F238E27FC236}">
              <a16:creationId xmlns:a16="http://schemas.microsoft.com/office/drawing/2014/main" id="{5DB44E52-1AC3-40E4-A3FB-10103BAE85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052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76" name="图片 75">
          <a:extLst>
            <a:ext uri="{FF2B5EF4-FFF2-40B4-BE49-F238E27FC236}">
              <a16:creationId xmlns:a16="http://schemas.microsoft.com/office/drawing/2014/main" id="{E0D7E100-D463-4C44-A736-4A5BB7E5C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243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80" name="图片 79">
          <a:extLst>
            <a:ext uri="{FF2B5EF4-FFF2-40B4-BE49-F238E27FC236}">
              <a16:creationId xmlns:a16="http://schemas.microsoft.com/office/drawing/2014/main" id="{B23B2C9E-3C63-4897-9955-82FAB6C987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434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0</xdr:colOff>
      <xdr:row>22</xdr:row>
      <xdr:rowOff>0</xdr:rowOff>
    </xdr:to>
    <xdr:pic>
      <xdr:nvPicPr>
        <xdr:cNvPr id="84" name="图片 83">
          <a:extLst>
            <a:ext uri="{FF2B5EF4-FFF2-40B4-BE49-F238E27FC236}">
              <a16:creationId xmlns:a16="http://schemas.microsoft.com/office/drawing/2014/main" id="{7C0A1963-966A-4007-895B-D8024A919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624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88" name="图片 87">
          <a:extLst>
            <a:ext uri="{FF2B5EF4-FFF2-40B4-BE49-F238E27FC236}">
              <a16:creationId xmlns:a16="http://schemas.microsoft.com/office/drawing/2014/main" id="{5A04D50A-98A2-4F02-9951-A6C875E77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815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0</xdr:rowOff>
    </xdr:to>
    <xdr:pic>
      <xdr:nvPicPr>
        <xdr:cNvPr id="92" name="图片 91">
          <a:extLst>
            <a:ext uri="{FF2B5EF4-FFF2-40B4-BE49-F238E27FC236}">
              <a16:creationId xmlns:a16="http://schemas.microsoft.com/office/drawing/2014/main" id="{3E6DC23A-977B-4DFC-A998-7550A1974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006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96" name="图片 95">
          <a:extLst>
            <a:ext uri="{FF2B5EF4-FFF2-40B4-BE49-F238E27FC236}">
              <a16:creationId xmlns:a16="http://schemas.microsoft.com/office/drawing/2014/main" id="{142B1599-5FD6-4CD1-9894-2892C048D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197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00" name="图片 99">
          <a:extLst>
            <a:ext uri="{FF2B5EF4-FFF2-40B4-BE49-F238E27FC236}">
              <a16:creationId xmlns:a16="http://schemas.microsoft.com/office/drawing/2014/main" id="{87F14DAA-F148-4A61-AF7E-BDCB69136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387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104" name="图片 103">
          <a:extLst>
            <a:ext uri="{FF2B5EF4-FFF2-40B4-BE49-F238E27FC236}">
              <a16:creationId xmlns:a16="http://schemas.microsoft.com/office/drawing/2014/main" id="{67BF267D-ACDC-4CE1-989B-D4384D90C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578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08" name="图片 107">
          <a:extLst>
            <a:ext uri="{FF2B5EF4-FFF2-40B4-BE49-F238E27FC236}">
              <a16:creationId xmlns:a16="http://schemas.microsoft.com/office/drawing/2014/main" id="{56AB9670-CA64-41E6-B469-73F2CAEF91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769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12" name="图片 111">
          <a:extLst>
            <a:ext uri="{FF2B5EF4-FFF2-40B4-BE49-F238E27FC236}">
              <a16:creationId xmlns:a16="http://schemas.microsoft.com/office/drawing/2014/main" id="{73A68A89-FA07-4421-A6A0-87F8A08CE4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960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116" name="图片 115">
          <a:extLst>
            <a:ext uri="{FF2B5EF4-FFF2-40B4-BE49-F238E27FC236}">
              <a16:creationId xmlns:a16="http://schemas.microsoft.com/office/drawing/2014/main" id="{98A48B84-668F-47C0-B738-11BE4374B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3150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120" name="图片 119">
          <a:extLst>
            <a:ext uri="{FF2B5EF4-FFF2-40B4-BE49-F238E27FC236}">
              <a16:creationId xmlns:a16="http://schemas.microsoft.com/office/drawing/2014/main" id="{D829E6B2-4063-43C5-A96B-3B9AEA351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5341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24" name="图片 123">
          <a:extLst>
            <a:ext uri="{FF2B5EF4-FFF2-40B4-BE49-F238E27FC236}">
              <a16:creationId xmlns:a16="http://schemas.microsoft.com/office/drawing/2014/main" id="{81CFB1B2-349B-4981-842C-408B9DE7BB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532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128" name="图片 127">
          <a:extLst>
            <a:ext uri="{FF2B5EF4-FFF2-40B4-BE49-F238E27FC236}">
              <a16:creationId xmlns:a16="http://schemas.microsoft.com/office/drawing/2014/main" id="{928B87CB-370C-47CF-B6FE-F6467D5E8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9723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34</xdr:row>
      <xdr:rowOff>0</xdr:rowOff>
    </xdr:to>
    <xdr:pic>
      <xdr:nvPicPr>
        <xdr:cNvPr id="132" name="图片 131">
          <a:extLst>
            <a:ext uri="{FF2B5EF4-FFF2-40B4-BE49-F238E27FC236}">
              <a16:creationId xmlns:a16="http://schemas.microsoft.com/office/drawing/2014/main" id="{D2DFF378-A885-4891-941A-6AB09D7DE4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1913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36" name="图片 135">
          <a:extLst>
            <a:ext uri="{FF2B5EF4-FFF2-40B4-BE49-F238E27FC236}">
              <a16:creationId xmlns:a16="http://schemas.microsoft.com/office/drawing/2014/main" id="{C795CCE7-DD61-40CD-BF1A-A4BF075D6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104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36</xdr:row>
      <xdr:rowOff>0</xdr:rowOff>
    </xdr:to>
    <xdr:pic>
      <xdr:nvPicPr>
        <xdr:cNvPr id="140" name="图片 139">
          <a:extLst>
            <a:ext uri="{FF2B5EF4-FFF2-40B4-BE49-F238E27FC236}">
              <a16:creationId xmlns:a16="http://schemas.microsoft.com/office/drawing/2014/main" id="{34A8E70D-3ED0-435D-8B2C-F226E96B2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6295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144" name="图片 143">
          <a:extLst>
            <a:ext uri="{FF2B5EF4-FFF2-40B4-BE49-F238E27FC236}">
              <a16:creationId xmlns:a16="http://schemas.microsoft.com/office/drawing/2014/main" id="{FB328C87-B107-4074-9168-94B913EC2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8486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48" name="图片 147">
          <a:extLst>
            <a:ext uri="{FF2B5EF4-FFF2-40B4-BE49-F238E27FC236}">
              <a16:creationId xmlns:a16="http://schemas.microsoft.com/office/drawing/2014/main" id="{7DA99D87-DADE-4EE1-B1EA-3DF8D9BF3F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676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152" name="图片 151">
          <a:extLst>
            <a:ext uri="{FF2B5EF4-FFF2-40B4-BE49-F238E27FC236}">
              <a16:creationId xmlns:a16="http://schemas.microsoft.com/office/drawing/2014/main" id="{26AE30E3-9497-4D07-836F-34B836E22F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2867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pic>
      <xdr:nvPicPr>
        <xdr:cNvPr id="156" name="图片 155">
          <a:extLst>
            <a:ext uri="{FF2B5EF4-FFF2-40B4-BE49-F238E27FC236}">
              <a16:creationId xmlns:a16="http://schemas.microsoft.com/office/drawing/2014/main" id="{5FC4BB79-8455-451C-8B2B-6D8773F4F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058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160" name="图片 159">
          <a:extLst>
            <a:ext uri="{FF2B5EF4-FFF2-40B4-BE49-F238E27FC236}">
              <a16:creationId xmlns:a16="http://schemas.microsoft.com/office/drawing/2014/main" id="{BAF9F950-0D54-45EB-AB62-F6D13C581F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249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164" name="图片 163">
          <a:extLst>
            <a:ext uri="{FF2B5EF4-FFF2-40B4-BE49-F238E27FC236}">
              <a16:creationId xmlns:a16="http://schemas.microsoft.com/office/drawing/2014/main" id="{ADD59425-486A-45BC-848A-97D2B20CD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439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168" name="图片 167">
          <a:extLst>
            <a:ext uri="{FF2B5EF4-FFF2-40B4-BE49-F238E27FC236}">
              <a16:creationId xmlns:a16="http://schemas.microsoft.com/office/drawing/2014/main" id="{C437E124-98A8-4E5D-8A92-918C0A679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630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172" name="图片 171">
          <a:extLst>
            <a:ext uri="{FF2B5EF4-FFF2-40B4-BE49-F238E27FC236}">
              <a16:creationId xmlns:a16="http://schemas.microsoft.com/office/drawing/2014/main" id="{5A0F0CAF-8600-48BE-B230-B649F3A57B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821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45</xdr:row>
      <xdr:rowOff>0</xdr:rowOff>
    </xdr:to>
    <xdr:pic>
      <xdr:nvPicPr>
        <xdr:cNvPr id="176" name="图片 175">
          <a:extLst>
            <a:ext uri="{FF2B5EF4-FFF2-40B4-BE49-F238E27FC236}">
              <a16:creationId xmlns:a16="http://schemas.microsoft.com/office/drawing/2014/main" id="{43830214-3BFC-47D0-A23A-8C187BB39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012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180" name="图片 179">
          <a:extLst>
            <a:ext uri="{FF2B5EF4-FFF2-40B4-BE49-F238E27FC236}">
              <a16:creationId xmlns:a16="http://schemas.microsoft.com/office/drawing/2014/main" id="{663AB7AB-1AF0-495C-98F2-EA9A993792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202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47</xdr:row>
      <xdr:rowOff>0</xdr:rowOff>
    </xdr:to>
    <xdr:pic>
      <xdr:nvPicPr>
        <xdr:cNvPr id="184" name="图片 183">
          <a:extLst>
            <a:ext uri="{FF2B5EF4-FFF2-40B4-BE49-F238E27FC236}">
              <a16:creationId xmlns:a16="http://schemas.microsoft.com/office/drawing/2014/main" id="{7D8FF926-E7B5-40B0-B2C4-F4B0B52C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393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188" name="图片 187">
          <a:extLst>
            <a:ext uri="{FF2B5EF4-FFF2-40B4-BE49-F238E27FC236}">
              <a16:creationId xmlns:a16="http://schemas.microsoft.com/office/drawing/2014/main" id="{E31B0197-CFE7-4859-8EC6-1D83251B2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584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49</xdr:row>
      <xdr:rowOff>0</xdr:rowOff>
    </xdr:to>
    <xdr:pic>
      <xdr:nvPicPr>
        <xdr:cNvPr id="192" name="图片 191">
          <a:extLst>
            <a:ext uri="{FF2B5EF4-FFF2-40B4-BE49-F238E27FC236}">
              <a16:creationId xmlns:a16="http://schemas.microsoft.com/office/drawing/2014/main" id="{F7DB4C85-1A65-4077-80D5-D075DB30FD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775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50</xdr:row>
      <xdr:rowOff>0</xdr:rowOff>
    </xdr:to>
    <xdr:pic>
      <xdr:nvPicPr>
        <xdr:cNvPr id="196" name="图片 195">
          <a:extLst>
            <a:ext uri="{FF2B5EF4-FFF2-40B4-BE49-F238E27FC236}">
              <a16:creationId xmlns:a16="http://schemas.microsoft.com/office/drawing/2014/main" id="{578368BE-A716-40F5-B3F6-53EF5F9FE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965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51</xdr:row>
      <xdr:rowOff>0</xdr:rowOff>
    </xdr:to>
    <xdr:pic>
      <xdr:nvPicPr>
        <xdr:cNvPr id="200" name="图片 199">
          <a:extLst>
            <a:ext uri="{FF2B5EF4-FFF2-40B4-BE49-F238E27FC236}">
              <a16:creationId xmlns:a16="http://schemas.microsoft.com/office/drawing/2014/main" id="{98FC6FE3-E341-4F26-BEC6-786BED6186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156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52</xdr:row>
      <xdr:rowOff>0</xdr:rowOff>
    </xdr:to>
    <xdr:pic>
      <xdr:nvPicPr>
        <xdr:cNvPr id="203" name="图片 202">
          <a:extLst>
            <a:ext uri="{FF2B5EF4-FFF2-40B4-BE49-F238E27FC236}">
              <a16:creationId xmlns:a16="http://schemas.microsoft.com/office/drawing/2014/main" id="{9D47E1C2-D9D2-4E49-B2FF-C7C7AD34C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1347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205" name="图片 204">
          <a:extLst>
            <a:ext uri="{FF2B5EF4-FFF2-40B4-BE49-F238E27FC236}">
              <a16:creationId xmlns:a16="http://schemas.microsoft.com/office/drawing/2014/main" id="{7F8F1925-B89A-4579-A8F2-3683FCA4F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3538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1</xdr:col>
      <xdr:colOff>0</xdr:colOff>
      <xdr:row>54</xdr:row>
      <xdr:rowOff>0</xdr:rowOff>
    </xdr:to>
    <xdr:pic>
      <xdr:nvPicPr>
        <xdr:cNvPr id="207" name="图片 206">
          <a:extLst>
            <a:ext uri="{FF2B5EF4-FFF2-40B4-BE49-F238E27FC236}">
              <a16:creationId xmlns:a16="http://schemas.microsoft.com/office/drawing/2014/main" id="{12C1AC5C-BD46-48CA-B52A-84E1A8F30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5728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1</xdr:col>
      <xdr:colOff>0</xdr:colOff>
      <xdr:row>55</xdr:row>
      <xdr:rowOff>0</xdr:rowOff>
    </xdr:to>
    <xdr:pic>
      <xdr:nvPicPr>
        <xdr:cNvPr id="209" name="图片 208">
          <a:extLst>
            <a:ext uri="{FF2B5EF4-FFF2-40B4-BE49-F238E27FC236}">
              <a16:creationId xmlns:a16="http://schemas.microsoft.com/office/drawing/2014/main" id="{84C84016-5833-47ED-AAFA-A5838EA31F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7919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1</xdr:col>
      <xdr:colOff>0</xdr:colOff>
      <xdr:row>56</xdr:row>
      <xdr:rowOff>0</xdr:rowOff>
    </xdr:to>
    <xdr:pic>
      <xdr:nvPicPr>
        <xdr:cNvPr id="211" name="图片 210">
          <a:extLst>
            <a:ext uri="{FF2B5EF4-FFF2-40B4-BE49-F238E27FC236}">
              <a16:creationId xmlns:a16="http://schemas.microsoft.com/office/drawing/2014/main" id="{AD8A77D9-7D07-4321-A072-278F7AA79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0110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</xdr:col>
      <xdr:colOff>0</xdr:colOff>
      <xdr:row>57</xdr:row>
      <xdr:rowOff>0</xdr:rowOff>
    </xdr:to>
    <xdr:pic>
      <xdr:nvPicPr>
        <xdr:cNvPr id="213" name="图片 212">
          <a:extLst>
            <a:ext uri="{FF2B5EF4-FFF2-40B4-BE49-F238E27FC236}">
              <a16:creationId xmlns:a16="http://schemas.microsoft.com/office/drawing/2014/main" id="{2DE4A19E-5EEF-49F6-BA57-CCA3BF394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301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1</xdr:col>
      <xdr:colOff>0</xdr:colOff>
      <xdr:row>58</xdr:row>
      <xdr:rowOff>0</xdr:rowOff>
    </xdr:to>
    <xdr:pic>
      <xdr:nvPicPr>
        <xdr:cNvPr id="215" name="图片 214">
          <a:extLst>
            <a:ext uri="{FF2B5EF4-FFF2-40B4-BE49-F238E27FC236}">
              <a16:creationId xmlns:a16="http://schemas.microsoft.com/office/drawing/2014/main" id="{9D1A3974-961C-4C99-82C5-2AEAC7164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4491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</xdr:col>
      <xdr:colOff>0</xdr:colOff>
      <xdr:row>59</xdr:row>
      <xdr:rowOff>0</xdr:rowOff>
    </xdr:to>
    <xdr:pic>
      <xdr:nvPicPr>
        <xdr:cNvPr id="217" name="图片 216">
          <a:extLst>
            <a:ext uri="{FF2B5EF4-FFF2-40B4-BE49-F238E27FC236}">
              <a16:creationId xmlns:a16="http://schemas.microsoft.com/office/drawing/2014/main" id="{84C770C0-CF0C-4BEE-A1C2-4E0BCD41C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6682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</xdr:col>
      <xdr:colOff>0</xdr:colOff>
      <xdr:row>60</xdr:row>
      <xdr:rowOff>0</xdr:rowOff>
    </xdr:to>
    <xdr:pic>
      <xdr:nvPicPr>
        <xdr:cNvPr id="219" name="图片 218">
          <a:extLst>
            <a:ext uri="{FF2B5EF4-FFF2-40B4-BE49-F238E27FC236}">
              <a16:creationId xmlns:a16="http://schemas.microsoft.com/office/drawing/2014/main" id="{141AA556-D017-49B4-9114-BCA719EA9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8873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</xdr:col>
      <xdr:colOff>0</xdr:colOff>
      <xdr:row>61</xdr:row>
      <xdr:rowOff>0</xdr:rowOff>
    </xdr:to>
    <xdr:pic>
      <xdr:nvPicPr>
        <xdr:cNvPr id="221" name="图片 220">
          <a:extLst>
            <a:ext uri="{FF2B5EF4-FFF2-40B4-BE49-F238E27FC236}">
              <a16:creationId xmlns:a16="http://schemas.microsoft.com/office/drawing/2014/main" id="{902062A9-E774-44BC-8C93-850A308C4C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1064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1</xdr:col>
      <xdr:colOff>0</xdr:colOff>
      <xdr:row>62</xdr:row>
      <xdr:rowOff>0</xdr:rowOff>
    </xdr:to>
    <xdr:pic>
      <xdr:nvPicPr>
        <xdr:cNvPr id="223" name="图片 222">
          <a:extLst>
            <a:ext uri="{FF2B5EF4-FFF2-40B4-BE49-F238E27FC236}">
              <a16:creationId xmlns:a16="http://schemas.microsoft.com/office/drawing/2014/main" id="{55F0432F-981D-4C1D-8BF6-BCF8117A7A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254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1</xdr:col>
      <xdr:colOff>0</xdr:colOff>
      <xdr:row>63</xdr:row>
      <xdr:rowOff>0</xdr:rowOff>
    </xdr:to>
    <xdr:pic>
      <xdr:nvPicPr>
        <xdr:cNvPr id="225" name="图片 224">
          <a:extLst>
            <a:ext uri="{FF2B5EF4-FFF2-40B4-BE49-F238E27FC236}">
              <a16:creationId xmlns:a16="http://schemas.microsoft.com/office/drawing/2014/main" id="{DD3C5D7D-3B31-445B-B8F1-893345D72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445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</xdr:col>
      <xdr:colOff>0</xdr:colOff>
      <xdr:row>64</xdr:row>
      <xdr:rowOff>0</xdr:rowOff>
    </xdr:to>
    <xdr:pic>
      <xdr:nvPicPr>
        <xdr:cNvPr id="227" name="图片 226">
          <a:extLst>
            <a:ext uri="{FF2B5EF4-FFF2-40B4-BE49-F238E27FC236}">
              <a16:creationId xmlns:a16="http://schemas.microsoft.com/office/drawing/2014/main" id="{79F19A2D-7B40-4915-AFEB-60532BCC6A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7636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1</xdr:col>
      <xdr:colOff>0</xdr:colOff>
      <xdr:row>65</xdr:row>
      <xdr:rowOff>0</xdr:rowOff>
    </xdr:to>
    <xdr:pic>
      <xdr:nvPicPr>
        <xdr:cNvPr id="229" name="图片 228">
          <a:extLst>
            <a:ext uri="{FF2B5EF4-FFF2-40B4-BE49-F238E27FC236}">
              <a16:creationId xmlns:a16="http://schemas.microsoft.com/office/drawing/2014/main" id="{EF3E8947-5C09-497E-A7FB-F8F5DA6BA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9827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1</xdr:col>
      <xdr:colOff>0</xdr:colOff>
      <xdr:row>66</xdr:row>
      <xdr:rowOff>0</xdr:rowOff>
    </xdr:to>
    <xdr:pic>
      <xdr:nvPicPr>
        <xdr:cNvPr id="231" name="图片 230">
          <a:extLst>
            <a:ext uri="{FF2B5EF4-FFF2-40B4-BE49-F238E27FC236}">
              <a16:creationId xmlns:a16="http://schemas.microsoft.com/office/drawing/2014/main" id="{E82EFFC9-97F8-464E-BFFE-1F6BFF3BF5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017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</xdr:col>
      <xdr:colOff>0</xdr:colOff>
      <xdr:row>67</xdr:row>
      <xdr:rowOff>0</xdr:rowOff>
    </xdr:to>
    <xdr:pic>
      <xdr:nvPicPr>
        <xdr:cNvPr id="233" name="图片 232">
          <a:extLst>
            <a:ext uri="{FF2B5EF4-FFF2-40B4-BE49-F238E27FC236}">
              <a16:creationId xmlns:a16="http://schemas.microsoft.com/office/drawing/2014/main" id="{A0ED73E1-4FD7-400C-9590-5D2B0A641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4208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1</xdr:col>
      <xdr:colOff>0</xdr:colOff>
      <xdr:row>68</xdr:row>
      <xdr:rowOff>0</xdr:rowOff>
    </xdr:to>
    <xdr:pic>
      <xdr:nvPicPr>
        <xdr:cNvPr id="235" name="图片 234">
          <a:extLst>
            <a:ext uri="{FF2B5EF4-FFF2-40B4-BE49-F238E27FC236}">
              <a16:creationId xmlns:a16="http://schemas.microsoft.com/office/drawing/2014/main" id="{768C1D6E-AD1F-4979-877D-7499D9A90C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399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</xdr:col>
      <xdr:colOff>0</xdr:colOff>
      <xdr:row>69</xdr:row>
      <xdr:rowOff>0</xdr:rowOff>
    </xdr:to>
    <xdr:pic>
      <xdr:nvPicPr>
        <xdr:cNvPr id="237" name="图片 236">
          <a:extLst>
            <a:ext uri="{FF2B5EF4-FFF2-40B4-BE49-F238E27FC236}">
              <a16:creationId xmlns:a16="http://schemas.microsoft.com/office/drawing/2014/main" id="{CEB16DB2-5794-40E6-88F4-791BBD201A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590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</xdr:col>
      <xdr:colOff>0</xdr:colOff>
      <xdr:row>70</xdr:row>
      <xdr:rowOff>0</xdr:rowOff>
    </xdr:to>
    <xdr:pic>
      <xdr:nvPicPr>
        <xdr:cNvPr id="239" name="图片 238">
          <a:extLst>
            <a:ext uri="{FF2B5EF4-FFF2-40B4-BE49-F238E27FC236}">
              <a16:creationId xmlns:a16="http://schemas.microsoft.com/office/drawing/2014/main" id="{7DBC0A65-34A4-4AEE-AB14-18F00804E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0780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0</xdr:colOff>
      <xdr:row>71</xdr:row>
      <xdr:rowOff>0</xdr:rowOff>
    </xdr:to>
    <xdr:pic>
      <xdr:nvPicPr>
        <xdr:cNvPr id="241" name="图片 240">
          <a:extLst>
            <a:ext uri="{FF2B5EF4-FFF2-40B4-BE49-F238E27FC236}">
              <a16:creationId xmlns:a16="http://schemas.microsoft.com/office/drawing/2014/main" id="{B2CB65C9-8753-40DF-8D6B-0FA6D63CF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971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1</xdr:col>
      <xdr:colOff>0</xdr:colOff>
      <xdr:row>72</xdr:row>
      <xdr:rowOff>0</xdr:rowOff>
    </xdr:to>
    <xdr:pic>
      <xdr:nvPicPr>
        <xdr:cNvPr id="243" name="图片 242">
          <a:extLst>
            <a:ext uri="{FF2B5EF4-FFF2-40B4-BE49-F238E27FC236}">
              <a16:creationId xmlns:a16="http://schemas.microsoft.com/office/drawing/2014/main" id="{E6F64625-D308-4BD0-8DAA-4EE912E6E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5162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1</xdr:col>
      <xdr:colOff>0</xdr:colOff>
      <xdr:row>73</xdr:row>
      <xdr:rowOff>0</xdr:rowOff>
    </xdr:to>
    <xdr:pic>
      <xdr:nvPicPr>
        <xdr:cNvPr id="245" name="图片 244">
          <a:extLst>
            <a:ext uri="{FF2B5EF4-FFF2-40B4-BE49-F238E27FC236}">
              <a16:creationId xmlns:a16="http://schemas.microsoft.com/office/drawing/2014/main" id="{68DC4DC9-8EFB-477B-B005-B703FBC83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353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1</xdr:col>
      <xdr:colOff>0</xdr:colOff>
      <xdr:row>74</xdr:row>
      <xdr:rowOff>0</xdr:rowOff>
    </xdr:to>
    <xdr:pic>
      <xdr:nvPicPr>
        <xdr:cNvPr id="247" name="图片 246">
          <a:extLst>
            <a:ext uri="{FF2B5EF4-FFF2-40B4-BE49-F238E27FC236}">
              <a16:creationId xmlns:a16="http://schemas.microsoft.com/office/drawing/2014/main" id="{AE0DCF26-57EC-40F1-A45A-57E613680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9543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1</xdr:col>
      <xdr:colOff>0</xdr:colOff>
      <xdr:row>75</xdr:row>
      <xdr:rowOff>0</xdr:rowOff>
    </xdr:to>
    <xdr:pic>
      <xdr:nvPicPr>
        <xdr:cNvPr id="249" name="图片 248">
          <a:extLst>
            <a:ext uri="{FF2B5EF4-FFF2-40B4-BE49-F238E27FC236}">
              <a16:creationId xmlns:a16="http://schemas.microsoft.com/office/drawing/2014/main" id="{CF05162E-1EC7-43D2-93FC-9F13E777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1734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1</xdr:col>
      <xdr:colOff>0</xdr:colOff>
      <xdr:row>76</xdr:row>
      <xdr:rowOff>0</xdr:rowOff>
    </xdr:to>
    <xdr:pic>
      <xdr:nvPicPr>
        <xdr:cNvPr id="251" name="图片 250">
          <a:extLst>
            <a:ext uri="{FF2B5EF4-FFF2-40B4-BE49-F238E27FC236}">
              <a16:creationId xmlns:a16="http://schemas.microsoft.com/office/drawing/2014/main" id="{1DC6B3DE-0051-48E0-98FF-AFD8E3ADC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925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1</xdr:col>
      <xdr:colOff>0</xdr:colOff>
      <xdr:row>77</xdr:row>
      <xdr:rowOff>0</xdr:rowOff>
    </xdr:to>
    <xdr:pic>
      <xdr:nvPicPr>
        <xdr:cNvPr id="253" name="图片 252">
          <a:extLst>
            <a:ext uri="{FF2B5EF4-FFF2-40B4-BE49-F238E27FC236}">
              <a16:creationId xmlns:a16="http://schemas.microsoft.com/office/drawing/2014/main" id="{17F5B085-769E-4B21-84F2-04FA7B6CF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 r:link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6116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</xdr:col>
      <xdr:colOff>0</xdr:colOff>
      <xdr:row>78</xdr:row>
      <xdr:rowOff>0</xdr:rowOff>
    </xdr:to>
    <xdr:pic>
      <xdr:nvPicPr>
        <xdr:cNvPr id="255" name="图片 254">
          <a:extLst>
            <a:ext uri="{FF2B5EF4-FFF2-40B4-BE49-F238E27FC236}">
              <a16:creationId xmlns:a16="http://schemas.microsoft.com/office/drawing/2014/main" id="{FAF91E7D-B990-40BF-BB50-80AC88456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8306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</xdr:col>
      <xdr:colOff>0</xdr:colOff>
      <xdr:row>79</xdr:row>
      <xdr:rowOff>0</xdr:rowOff>
    </xdr:to>
    <xdr:pic>
      <xdr:nvPicPr>
        <xdr:cNvPr id="257" name="图片 256">
          <a:extLst>
            <a:ext uri="{FF2B5EF4-FFF2-40B4-BE49-F238E27FC236}">
              <a16:creationId xmlns:a16="http://schemas.microsoft.com/office/drawing/2014/main" id="{4775E11E-B49C-40CE-A1FE-1C80542FC7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 r:link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0497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1</xdr:col>
      <xdr:colOff>0</xdr:colOff>
      <xdr:row>80</xdr:row>
      <xdr:rowOff>0</xdr:rowOff>
    </xdr:to>
    <xdr:pic>
      <xdr:nvPicPr>
        <xdr:cNvPr id="259" name="图片 258">
          <a:extLst>
            <a:ext uri="{FF2B5EF4-FFF2-40B4-BE49-F238E27FC236}">
              <a16:creationId xmlns:a16="http://schemas.microsoft.com/office/drawing/2014/main" id="{596D3FCD-A190-4821-B89B-0388C06B43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688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1</xdr:col>
      <xdr:colOff>0</xdr:colOff>
      <xdr:row>81</xdr:row>
      <xdr:rowOff>0</xdr:rowOff>
    </xdr:to>
    <xdr:pic>
      <xdr:nvPicPr>
        <xdr:cNvPr id="261" name="图片 260">
          <a:extLst>
            <a:ext uri="{FF2B5EF4-FFF2-40B4-BE49-F238E27FC236}">
              <a16:creationId xmlns:a16="http://schemas.microsoft.com/office/drawing/2014/main" id="{A6C27A29-5774-4817-B4F5-F5FB7DBD40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 r:link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4879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1</xdr:col>
      <xdr:colOff>0</xdr:colOff>
      <xdr:row>82</xdr:row>
      <xdr:rowOff>0</xdr:rowOff>
    </xdr:to>
    <xdr:pic>
      <xdr:nvPicPr>
        <xdr:cNvPr id="263" name="图片 262">
          <a:extLst>
            <a:ext uri="{FF2B5EF4-FFF2-40B4-BE49-F238E27FC236}">
              <a16:creationId xmlns:a16="http://schemas.microsoft.com/office/drawing/2014/main" id="{DA095315-AF85-4695-95E6-7F88B05BD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7069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1</xdr:col>
      <xdr:colOff>0</xdr:colOff>
      <xdr:row>83</xdr:row>
      <xdr:rowOff>0</xdr:rowOff>
    </xdr:to>
    <xdr:pic>
      <xdr:nvPicPr>
        <xdr:cNvPr id="265" name="图片 264">
          <a:extLst>
            <a:ext uri="{FF2B5EF4-FFF2-40B4-BE49-F238E27FC236}">
              <a16:creationId xmlns:a16="http://schemas.microsoft.com/office/drawing/2014/main" id="{6B5EF5FF-FCF0-4A9A-8499-BB07E1272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9260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1</xdr:col>
      <xdr:colOff>0</xdr:colOff>
      <xdr:row>84</xdr:row>
      <xdr:rowOff>0</xdr:rowOff>
    </xdr:to>
    <xdr:pic>
      <xdr:nvPicPr>
        <xdr:cNvPr id="267" name="图片 266">
          <a:extLst>
            <a:ext uri="{FF2B5EF4-FFF2-40B4-BE49-F238E27FC236}">
              <a16:creationId xmlns:a16="http://schemas.microsoft.com/office/drawing/2014/main" id="{8324D66F-00D2-4CCD-8CB1-080F801DA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1451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1</xdr:col>
      <xdr:colOff>0</xdr:colOff>
      <xdr:row>85</xdr:row>
      <xdr:rowOff>0</xdr:rowOff>
    </xdr:to>
    <xdr:pic>
      <xdr:nvPicPr>
        <xdr:cNvPr id="269" name="图片 268">
          <a:extLst>
            <a:ext uri="{FF2B5EF4-FFF2-40B4-BE49-F238E27FC236}">
              <a16:creationId xmlns:a16="http://schemas.microsoft.com/office/drawing/2014/main" id="{436A0A84-D1C9-4E7D-8516-474C6B456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3642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1</xdr:col>
      <xdr:colOff>0</xdr:colOff>
      <xdr:row>86</xdr:row>
      <xdr:rowOff>0</xdr:rowOff>
    </xdr:to>
    <xdr:pic>
      <xdr:nvPicPr>
        <xdr:cNvPr id="271" name="图片 270">
          <a:extLst>
            <a:ext uri="{FF2B5EF4-FFF2-40B4-BE49-F238E27FC236}">
              <a16:creationId xmlns:a16="http://schemas.microsoft.com/office/drawing/2014/main" id="{04E8C4D5-AD8B-4A05-93D8-D3E2078FF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832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1</xdr:col>
      <xdr:colOff>0</xdr:colOff>
      <xdr:row>87</xdr:row>
      <xdr:rowOff>0</xdr:rowOff>
    </xdr:to>
    <xdr:pic>
      <xdr:nvPicPr>
        <xdr:cNvPr id="273" name="图片 272">
          <a:extLst>
            <a:ext uri="{FF2B5EF4-FFF2-40B4-BE49-F238E27FC236}">
              <a16:creationId xmlns:a16="http://schemas.microsoft.com/office/drawing/2014/main" id="{0C34DAAA-AEA1-41AC-AEB2-F2D3AE119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8023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1</xdr:col>
      <xdr:colOff>0</xdr:colOff>
      <xdr:row>88</xdr:row>
      <xdr:rowOff>0</xdr:rowOff>
    </xdr:to>
    <xdr:pic>
      <xdr:nvPicPr>
        <xdr:cNvPr id="275" name="图片 274">
          <a:extLst>
            <a:ext uri="{FF2B5EF4-FFF2-40B4-BE49-F238E27FC236}">
              <a16:creationId xmlns:a16="http://schemas.microsoft.com/office/drawing/2014/main" id="{713DE43C-9555-4677-8386-793238EC2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214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1</xdr:col>
      <xdr:colOff>0</xdr:colOff>
      <xdr:row>89</xdr:row>
      <xdr:rowOff>0</xdr:rowOff>
    </xdr:to>
    <xdr:pic>
      <xdr:nvPicPr>
        <xdr:cNvPr id="277" name="图片 276">
          <a:extLst>
            <a:ext uri="{FF2B5EF4-FFF2-40B4-BE49-F238E27FC236}">
              <a16:creationId xmlns:a16="http://schemas.microsoft.com/office/drawing/2014/main" id="{EE2AC735-31B5-4475-A32B-138F2E8F48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 r:link="rId1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2405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</xdr:col>
      <xdr:colOff>0</xdr:colOff>
      <xdr:row>90</xdr:row>
      <xdr:rowOff>0</xdr:rowOff>
    </xdr:to>
    <xdr:pic>
      <xdr:nvPicPr>
        <xdr:cNvPr id="279" name="图片 278">
          <a:extLst>
            <a:ext uri="{FF2B5EF4-FFF2-40B4-BE49-F238E27FC236}">
              <a16:creationId xmlns:a16="http://schemas.microsoft.com/office/drawing/2014/main" id="{5BA456C9-206E-42D0-9B14-1D00AB0A1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 r:link="rId1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4595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</xdr:col>
      <xdr:colOff>0</xdr:colOff>
      <xdr:row>91</xdr:row>
      <xdr:rowOff>0</xdr:rowOff>
    </xdr:to>
    <xdr:pic>
      <xdr:nvPicPr>
        <xdr:cNvPr id="281" name="图片 280">
          <a:extLst>
            <a:ext uri="{FF2B5EF4-FFF2-40B4-BE49-F238E27FC236}">
              <a16:creationId xmlns:a16="http://schemas.microsoft.com/office/drawing/2014/main" id="{58E9A182-F192-4B2A-90BE-3C08F2986B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 r:link="rId1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6786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91</xdr:row>
      <xdr:rowOff>0</xdr:rowOff>
    </xdr:from>
    <xdr:to>
      <xdr:col>1</xdr:col>
      <xdr:colOff>0</xdr:colOff>
      <xdr:row>92</xdr:row>
      <xdr:rowOff>0</xdr:rowOff>
    </xdr:to>
    <xdr:pic>
      <xdr:nvPicPr>
        <xdr:cNvPr id="283" name="图片 282">
          <a:extLst>
            <a:ext uri="{FF2B5EF4-FFF2-40B4-BE49-F238E27FC236}">
              <a16:creationId xmlns:a16="http://schemas.microsoft.com/office/drawing/2014/main" id="{6914ACB3-F925-46EF-9E3C-1DE6E00BB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 r:link="rId1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977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</xdr:col>
      <xdr:colOff>0</xdr:colOff>
      <xdr:row>93</xdr:row>
      <xdr:rowOff>0</xdr:rowOff>
    </xdr:to>
    <xdr:pic>
      <xdr:nvPicPr>
        <xdr:cNvPr id="285" name="图片 284">
          <a:extLst>
            <a:ext uri="{FF2B5EF4-FFF2-40B4-BE49-F238E27FC236}">
              <a16:creationId xmlns:a16="http://schemas.microsoft.com/office/drawing/2014/main" id="{247563C5-B7B4-4858-9923-72E01ECE2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 r:link="rId1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1168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1</xdr:col>
      <xdr:colOff>0</xdr:colOff>
      <xdr:row>94</xdr:row>
      <xdr:rowOff>0</xdr:rowOff>
    </xdr:to>
    <xdr:pic>
      <xdr:nvPicPr>
        <xdr:cNvPr id="287" name="图片 286">
          <a:extLst>
            <a:ext uri="{FF2B5EF4-FFF2-40B4-BE49-F238E27FC236}">
              <a16:creationId xmlns:a16="http://schemas.microsoft.com/office/drawing/2014/main" id="{12B9B3B1-7D87-49E9-8A50-EE8897E72F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 r:link="rId1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3358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</xdr:col>
      <xdr:colOff>0</xdr:colOff>
      <xdr:row>95</xdr:row>
      <xdr:rowOff>0</xdr:rowOff>
    </xdr:to>
    <xdr:pic>
      <xdr:nvPicPr>
        <xdr:cNvPr id="289" name="图片 288">
          <a:extLst>
            <a:ext uri="{FF2B5EF4-FFF2-40B4-BE49-F238E27FC236}">
              <a16:creationId xmlns:a16="http://schemas.microsoft.com/office/drawing/2014/main" id="{2B14933B-AE34-483B-AA97-CC525FEC36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 r:link="rId1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5549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0</xdr:rowOff>
    </xdr:from>
    <xdr:to>
      <xdr:col>1</xdr:col>
      <xdr:colOff>0</xdr:colOff>
      <xdr:row>96</xdr:row>
      <xdr:rowOff>0</xdr:rowOff>
    </xdr:to>
    <xdr:pic>
      <xdr:nvPicPr>
        <xdr:cNvPr id="291" name="图片 290">
          <a:extLst>
            <a:ext uri="{FF2B5EF4-FFF2-40B4-BE49-F238E27FC236}">
              <a16:creationId xmlns:a16="http://schemas.microsoft.com/office/drawing/2014/main" id="{CE3DBDFB-6FCB-4993-9E05-CBD6FECC2A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 r:link="rId1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7740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96</xdr:row>
      <xdr:rowOff>0</xdr:rowOff>
    </xdr:from>
    <xdr:to>
      <xdr:col>1</xdr:col>
      <xdr:colOff>0</xdr:colOff>
      <xdr:row>97</xdr:row>
      <xdr:rowOff>0</xdr:rowOff>
    </xdr:to>
    <xdr:pic>
      <xdr:nvPicPr>
        <xdr:cNvPr id="293" name="图片 292">
          <a:extLst>
            <a:ext uri="{FF2B5EF4-FFF2-40B4-BE49-F238E27FC236}">
              <a16:creationId xmlns:a16="http://schemas.microsoft.com/office/drawing/2014/main" id="{3913E828-36C0-4B45-BC2E-F591A7E35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 r:link="rId1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931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</xdr:col>
      <xdr:colOff>0</xdr:colOff>
      <xdr:row>98</xdr:row>
      <xdr:rowOff>0</xdr:rowOff>
    </xdr:to>
    <xdr:pic>
      <xdr:nvPicPr>
        <xdr:cNvPr id="295" name="图片 294">
          <a:extLst>
            <a:ext uri="{FF2B5EF4-FFF2-40B4-BE49-F238E27FC236}">
              <a16:creationId xmlns:a16="http://schemas.microsoft.com/office/drawing/2014/main" id="{F31A8E78-435D-4365-96FF-CB39CE2C9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 r:link="rId1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21217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98</xdr:row>
      <xdr:rowOff>0</xdr:rowOff>
    </xdr:from>
    <xdr:to>
      <xdr:col>1</xdr:col>
      <xdr:colOff>0</xdr:colOff>
      <xdr:row>99</xdr:row>
      <xdr:rowOff>0</xdr:rowOff>
    </xdr:to>
    <xdr:pic>
      <xdr:nvPicPr>
        <xdr:cNvPr id="297" name="图片 296">
          <a:extLst>
            <a:ext uri="{FF2B5EF4-FFF2-40B4-BE49-F238E27FC236}">
              <a16:creationId xmlns:a16="http://schemas.microsoft.com/office/drawing/2014/main" id="{93B32518-5723-4DF2-AC7C-63F2B4088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 r:link="rId1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43125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1</xdr:col>
      <xdr:colOff>0</xdr:colOff>
      <xdr:row>100</xdr:row>
      <xdr:rowOff>0</xdr:rowOff>
    </xdr:to>
    <xdr:pic>
      <xdr:nvPicPr>
        <xdr:cNvPr id="299" name="图片 298">
          <a:extLst>
            <a:ext uri="{FF2B5EF4-FFF2-40B4-BE49-F238E27FC236}">
              <a16:creationId xmlns:a16="http://schemas.microsoft.com/office/drawing/2014/main" id="{081E976E-BACC-454E-B0DF-4369945EF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 r:link="rId1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650325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1</xdr:col>
      <xdr:colOff>0</xdr:colOff>
      <xdr:row>101</xdr:row>
      <xdr:rowOff>0</xdr:rowOff>
    </xdr:to>
    <xdr:pic>
      <xdr:nvPicPr>
        <xdr:cNvPr id="301" name="图片 300">
          <a:extLst>
            <a:ext uri="{FF2B5EF4-FFF2-40B4-BE49-F238E27FC236}">
              <a16:creationId xmlns:a16="http://schemas.microsoft.com/office/drawing/2014/main" id="{A4BBA2EA-91CA-4715-8E49-3F71E6DFC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 r:link="rId2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869400"/>
          <a:ext cx="257175" cy="2190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1</xdr:col>
      <xdr:colOff>0</xdr:colOff>
      <xdr:row>101</xdr:row>
      <xdr:rowOff>180975</xdr:rowOff>
    </xdr:to>
    <xdr:pic>
      <xdr:nvPicPr>
        <xdr:cNvPr id="303" name="图片 302">
          <a:extLst>
            <a:ext uri="{FF2B5EF4-FFF2-40B4-BE49-F238E27FC236}">
              <a16:creationId xmlns:a16="http://schemas.microsoft.com/office/drawing/2014/main" id="{8B35D1B0-3EF5-4AD3-8333-10FB47BCF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 r:link="rId2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088475"/>
          <a:ext cx="25717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102</xdr:row>
      <xdr:rowOff>0</xdr:rowOff>
    </xdr:from>
    <xdr:to>
      <xdr:col>1</xdr:col>
      <xdr:colOff>0</xdr:colOff>
      <xdr:row>102</xdr:row>
      <xdr:rowOff>180975</xdr:rowOff>
    </xdr:to>
    <xdr:pic>
      <xdr:nvPicPr>
        <xdr:cNvPr id="305" name="图片 304">
          <a:extLst>
            <a:ext uri="{FF2B5EF4-FFF2-40B4-BE49-F238E27FC236}">
              <a16:creationId xmlns:a16="http://schemas.microsoft.com/office/drawing/2014/main" id="{B1A221B2-9DCE-4B78-B740-3C37A7BDC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 r:link="rId2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269450"/>
          <a:ext cx="25717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1</xdr:col>
      <xdr:colOff>0</xdr:colOff>
      <xdr:row>103</xdr:row>
      <xdr:rowOff>180975</xdr:rowOff>
    </xdr:to>
    <xdr:pic>
      <xdr:nvPicPr>
        <xdr:cNvPr id="307" name="图片 306">
          <a:extLst>
            <a:ext uri="{FF2B5EF4-FFF2-40B4-BE49-F238E27FC236}">
              <a16:creationId xmlns:a16="http://schemas.microsoft.com/office/drawing/2014/main" id="{5749AB62-6BAD-4175-A91A-70787B8E9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 r:link="rId2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450425"/>
          <a:ext cx="257175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0</xdr:rowOff>
    </xdr:from>
    <xdr:to>
      <xdr:col>1</xdr:col>
      <xdr:colOff>0</xdr:colOff>
      <xdr:row>104</xdr:row>
      <xdr:rowOff>180975</xdr:rowOff>
    </xdr:to>
    <xdr:pic>
      <xdr:nvPicPr>
        <xdr:cNvPr id="309" name="图片 308">
          <a:extLst>
            <a:ext uri="{FF2B5EF4-FFF2-40B4-BE49-F238E27FC236}">
              <a16:creationId xmlns:a16="http://schemas.microsoft.com/office/drawing/2014/main" id="{B4214358-3495-471F-A871-76CBF4831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 r:link="rId2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631400"/>
          <a:ext cx="257175" cy="1809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DCE96945-B2B6-4BE1-9CD1-457A36C6B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5A345A41-340D-44C0-88F6-15D888010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r:link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0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7A3AC74C-B8A6-4C73-953A-16FB15A22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r:link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0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6" name="图片 15">
          <a:extLst>
            <a:ext uri="{FF2B5EF4-FFF2-40B4-BE49-F238E27FC236}">
              <a16:creationId xmlns:a16="http://schemas.microsoft.com/office/drawing/2014/main" id="{84312FCD-D840-4BCF-B8B1-C7E3D7729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r:link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09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47B9F89D-31B5-44C6-958B-A658FE04E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r:link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9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4" name="图片 23">
          <a:extLst>
            <a:ext uri="{FF2B5EF4-FFF2-40B4-BE49-F238E27FC236}">
              <a16:creationId xmlns:a16="http://schemas.microsoft.com/office/drawing/2014/main" id="{E947F5AC-4CC9-458C-BF21-8947198A1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r:link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28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8" name="图片 27">
          <a:extLst>
            <a:ext uri="{FF2B5EF4-FFF2-40B4-BE49-F238E27FC236}">
              <a16:creationId xmlns:a16="http://schemas.microsoft.com/office/drawing/2014/main" id="{D5AE4ECA-9BF8-471B-A1C7-D8DC69976C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r:link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8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32" name="图片 31">
          <a:extLst>
            <a:ext uri="{FF2B5EF4-FFF2-40B4-BE49-F238E27FC236}">
              <a16:creationId xmlns:a16="http://schemas.microsoft.com/office/drawing/2014/main" id="{5EF49185-E648-4F66-82A2-BED719A22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r:link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47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36" name="图片 35">
          <a:extLst>
            <a:ext uri="{FF2B5EF4-FFF2-40B4-BE49-F238E27FC236}">
              <a16:creationId xmlns:a16="http://schemas.microsoft.com/office/drawing/2014/main" id="{94B527F3-EB52-465E-B34C-753C622B7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r:link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7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40" name="图片 39">
          <a:extLst>
            <a:ext uri="{FF2B5EF4-FFF2-40B4-BE49-F238E27FC236}">
              <a16:creationId xmlns:a16="http://schemas.microsoft.com/office/drawing/2014/main" id="{46D844F4-925B-43DA-AB16-C15393D8A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r:link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66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44" name="图片 43">
          <a:extLst>
            <a:ext uri="{FF2B5EF4-FFF2-40B4-BE49-F238E27FC236}">
              <a16:creationId xmlns:a16="http://schemas.microsoft.com/office/drawing/2014/main" id="{BC6FC86B-BD9E-4CCF-9663-45815A837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r:link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76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48" name="图片 47">
          <a:extLst>
            <a:ext uri="{FF2B5EF4-FFF2-40B4-BE49-F238E27FC236}">
              <a16:creationId xmlns:a16="http://schemas.microsoft.com/office/drawing/2014/main" id="{2C81B9D0-7172-4E29-8DCF-B3BAAEA55E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r:link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86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52" name="图片 51">
          <a:extLst>
            <a:ext uri="{FF2B5EF4-FFF2-40B4-BE49-F238E27FC236}">
              <a16:creationId xmlns:a16="http://schemas.microsoft.com/office/drawing/2014/main" id="{BF0624FA-4FF2-4FE2-A39F-3FA9259B75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r:link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95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56" name="图片 55">
          <a:extLst>
            <a:ext uri="{FF2B5EF4-FFF2-40B4-BE49-F238E27FC236}">
              <a16:creationId xmlns:a16="http://schemas.microsoft.com/office/drawing/2014/main" id="{75A6627E-2458-4449-9A72-9D8DDC20D4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r:link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14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60" name="图片 59">
          <a:extLst>
            <a:ext uri="{FF2B5EF4-FFF2-40B4-BE49-F238E27FC236}">
              <a16:creationId xmlns:a16="http://schemas.microsoft.com/office/drawing/2014/main" id="{1DA8F742-C202-4D54-B7D5-B6CC85AD3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r:link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24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64" name="图片 63">
          <a:extLst>
            <a:ext uri="{FF2B5EF4-FFF2-40B4-BE49-F238E27FC236}">
              <a16:creationId xmlns:a16="http://schemas.microsoft.com/office/drawing/2014/main" id="{D086C4F2-7CE9-4FF4-B6D2-22920300E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r:link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33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68" name="图片 67">
          <a:extLst>
            <a:ext uri="{FF2B5EF4-FFF2-40B4-BE49-F238E27FC236}">
              <a16:creationId xmlns:a16="http://schemas.microsoft.com/office/drawing/2014/main" id="{3517A501-66C5-4728-8E32-18BD1FADD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r:link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43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72" name="图片 71">
          <a:extLst>
            <a:ext uri="{FF2B5EF4-FFF2-40B4-BE49-F238E27FC236}">
              <a16:creationId xmlns:a16="http://schemas.microsoft.com/office/drawing/2014/main" id="{7DC885AE-203A-4C5D-BCBE-34E94B097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r:link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52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0</xdr:colOff>
      <xdr:row>21</xdr:row>
      <xdr:rowOff>0</xdr:rowOff>
    </xdr:to>
    <xdr:pic>
      <xdr:nvPicPr>
        <xdr:cNvPr id="76" name="图片 75">
          <a:extLst>
            <a:ext uri="{FF2B5EF4-FFF2-40B4-BE49-F238E27FC236}">
              <a16:creationId xmlns:a16="http://schemas.microsoft.com/office/drawing/2014/main" id="{F513CABD-D649-45B9-86D9-24D855DE5D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r:link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162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0</xdr:rowOff>
    </xdr:from>
    <xdr:to>
      <xdr:col>1</xdr:col>
      <xdr:colOff>0</xdr:colOff>
      <xdr:row>22</xdr:row>
      <xdr:rowOff>0</xdr:rowOff>
    </xdr:to>
    <xdr:pic>
      <xdr:nvPicPr>
        <xdr:cNvPr id="80" name="图片 79">
          <a:extLst>
            <a:ext uri="{FF2B5EF4-FFF2-40B4-BE49-F238E27FC236}">
              <a16:creationId xmlns:a16="http://schemas.microsoft.com/office/drawing/2014/main" id="{D0057063-AACA-4B94-A7AA-780750FD40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r:link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371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84" name="图片 83">
          <a:extLst>
            <a:ext uri="{FF2B5EF4-FFF2-40B4-BE49-F238E27FC236}">
              <a16:creationId xmlns:a16="http://schemas.microsoft.com/office/drawing/2014/main" id="{87D82FA6-916D-4211-AD27-DDF038B4F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r:link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581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1</xdr:col>
      <xdr:colOff>0</xdr:colOff>
      <xdr:row>24</xdr:row>
      <xdr:rowOff>0</xdr:rowOff>
    </xdr:to>
    <xdr:pic>
      <xdr:nvPicPr>
        <xdr:cNvPr id="88" name="图片 87">
          <a:extLst>
            <a:ext uri="{FF2B5EF4-FFF2-40B4-BE49-F238E27FC236}">
              <a16:creationId xmlns:a16="http://schemas.microsoft.com/office/drawing/2014/main" id="{B2213468-E711-443A-815F-43A37CA0C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r:link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91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1</xdr:col>
      <xdr:colOff>0</xdr:colOff>
      <xdr:row>25</xdr:row>
      <xdr:rowOff>0</xdr:rowOff>
    </xdr:to>
    <xdr:pic>
      <xdr:nvPicPr>
        <xdr:cNvPr id="92" name="图片 91">
          <a:extLst>
            <a:ext uri="{FF2B5EF4-FFF2-40B4-BE49-F238E27FC236}">
              <a16:creationId xmlns:a16="http://schemas.microsoft.com/office/drawing/2014/main" id="{A911EE5F-E5E2-4810-8472-44E51C766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r:link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00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96" name="图片 95">
          <a:extLst>
            <a:ext uri="{FF2B5EF4-FFF2-40B4-BE49-F238E27FC236}">
              <a16:creationId xmlns:a16="http://schemas.microsoft.com/office/drawing/2014/main" id="{132B3B56-D449-4C81-9E4E-2FA217D72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 r:link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10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0</xdr:colOff>
      <xdr:row>27</xdr:row>
      <xdr:rowOff>0</xdr:rowOff>
    </xdr:to>
    <xdr:pic>
      <xdr:nvPicPr>
        <xdr:cNvPr id="100" name="图片 99">
          <a:extLst>
            <a:ext uri="{FF2B5EF4-FFF2-40B4-BE49-F238E27FC236}">
              <a16:creationId xmlns:a16="http://schemas.microsoft.com/office/drawing/2014/main" id="{B34B8F92-D1BB-42AD-877A-4005D0763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 r:link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19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</xdr:col>
      <xdr:colOff>0</xdr:colOff>
      <xdr:row>28</xdr:row>
      <xdr:rowOff>0</xdr:rowOff>
    </xdr:to>
    <xdr:pic>
      <xdr:nvPicPr>
        <xdr:cNvPr id="104" name="图片 103">
          <a:extLst>
            <a:ext uri="{FF2B5EF4-FFF2-40B4-BE49-F238E27FC236}">
              <a16:creationId xmlns:a16="http://schemas.microsoft.com/office/drawing/2014/main" id="{F369B4D4-B8E1-4387-AD07-FCAD60EF1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 r:link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629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08" name="图片 107">
          <a:extLst>
            <a:ext uri="{FF2B5EF4-FFF2-40B4-BE49-F238E27FC236}">
              <a16:creationId xmlns:a16="http://schemas.microsoft.com/office/drawing/2014/main" id="{606D830E-2AEC-42CD-A936-931EC92E82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 r:link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838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0</xdr:colOff>
      <xdr:row>30</xdr:row>
      <xdr:rowOff>0</xdr:rowOff>
    </xdr:to>
    <xdr:pic>
      <xdr:nvPicPr>
        <xdr:cNvPr id="112" name="图片 111">
          <a:extLst>
            <a:ext uri="{FF2B5EF4-FFF2-40B4-BE49-F238E27FC236}">
              <a16:creationId xmlns:a16="http://schemas.microsoft.com/office/drawing/2014/main" id="{F8DB8B01-B0F5-4563-81C6-7F07BA36B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 r:link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48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1</xdr:col>
      <xdr:colOff>0</xdr:colOff>
      <xdr:row>31</xdr:row>
      <xdr:rowOff>0</xdr:rowOff>
    </xdr:to>
    <xdr:pic>
      <xdr:nvPicPr>
        <xdr:cNvPr id="116" name="图片 115">
          <a:extLst>
            <a:ext uri="{FF2B5EF4-FFF2-40B4-BE49-F238E27FC236}">
              <a16:creationId xmlns:a16="http://schemas.microsoft.com/office/drawing/2014/main" id="{8A81CE2C-7596-491E-8346-73A02E968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 r:link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257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20" name="图片 119">
          <a:extLst>
            <a:ext uri="{FF2B5EF4-FFF2-40B4-BE49-F238E27FC236}">
              <a16:creationId xmlns:a16="http://schemas.microsoft.com/office/drawing/2014/main" id="{DB294F1E-FFD1-4EED-8E74-D71726A44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 r:link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67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0</xdr:rowOff>
    </xdr:from>
    <xdr:to>
      <xdr:col>1</xdr:col>
      <xdr:colOff>0</xdr:colOff>
      <xdr:row>33</xdr:row>
      <xdr:rowOff>0</xdr:rowOff>
    </xdr:to>
    <xdr:pic>
      <xdr:nvPicPr>
        <xdr:cNvPr id="124" name="图片 123">
          <a:extLst>
            <a:ext uri="{FF2B5EF4-FFF2-40B4-BE49-F238E27FC236}">
              <a16:creationId xmlns:a16="http://schemas.microsoft.com/office/drawing/2014/main" id="{CF4DAE0A-7914-4727-8C31-ED791A0EC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 r:link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77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33</xdr:row>
      <xdr:rowOff>0</xdr:rowOff>
    </xdr:from>
    <xdr:to>
      <xdr:col>1</xdr:col>
      <xdr:colOff>0</xdr:colOff>
      <xdr:row>34</xdr:row>
      <xdr:rowOff>0</xdr:rowOff>
    </xdr:to>
    <xdr:pic>
      <xdr:nvPicPr>
        <xdr:cNvPr id="128" name="图片 127">
          <a:extLst>
            <a:ext uri="{FF2B5EF4-FFF2-40B4-BE49-F238E27FC236}">
              <a16:creationId xmlns:a16="http://schemas.microsoft.com/office/drawing/2014/main" id="{4FAB544B-2EBE-43C5-A04C-BE79A123E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 r:link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86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32" name="图片 131">
          <a:extLst>
            <a:ext uri="{FF2B5EF4-FFF2-40B4-BE49-F238E27FC236}">
              <a16:creationId xmlns:a16="http://schemas.microsoft.com/office/drawing/2014/main" id="{14E8F2F0-0119-4AC0-AE10-586756944F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 r:link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096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</xdr:col>
      <xdr:colOff>0</xdr:colOff>
      <xdr:row>36</xdr:row>
      <xdr:rowOff>0</xdr:rowOff>
    </xdr:to>
    <xdr:pic>
      <xdr:nvPicPr>
        <xdr:cNvPr id="136" name="图片 135">
          <a:extLst>
            <a:ext uri="{FF2B5EF4-FFF2-40B4-BE49-F238E27FC236}">
              <a16:creationId xmlns:a16="http://schemas.microsoft.com/office/drawing/2014/main" id="{BF3A7DAF-BC38-42F8-8CF5-11EAA2AA8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 r:link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05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0</xdr:rowOff>
    </xdr:from>
    <xdr:to>
      <xdr:col>1</xdr:col>
      <xdr:colOff>0</xdr:colOff>
      <xdr:row>37</xdr:row>
      <xdr:rowOff>0</xdr:rowOff>
    </xdr:to>
    <xdr:pic>
      <xdr:nvPicPr>
        <xdr:cNvPr id="140" name="图片 139">
          <a:extLst>
            <a:ext uri="{FF2B5EF4-FFF2-40B4-BE49-F238E27FC236}">
              <a16:creationId xmlns:a16="http://schemas.microsoft.com/office/drawing/2014/main" id="{517C5FF1-5D3F-45CA-9766-01029F98F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 r:link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515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44" name="图片 143">
          <a:extLst>
            <a:ext uri="{FF2B5EF4-FFF2-40B4-BE49-F238E27FC236}">
              <a16:creationId xmlns:a16="http://schemas.microsoft.com/office/drawing/2014/main" id="{486CF966-3D54-4A7E-B60D-119892545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 r:link="rId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724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0</xdr:colOff>
      <xdr:row>39</xdr:row>
      <xdr:rowOff>0</xdr:rowOff>
    </xdr:to>
    <xdr:pic>
      <xdr:nvPicPr>
        <xdr:cNvPr id="148" name="图片 147">
          <a:extLst>
            <a:ext uri="{FF2B5EF4-FFF2-40B4-BE49-F238E27FC236}">
              <a16:creationId xmlns:a16="http://schemas.microsoft.com/office/drawing/2014/main" id="{43FC4BCA-F775-42EF-88C3-13B5021A36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 r:link="rId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934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0</xdr:colOff>
      <xdr:row>40</xdr:row>
      <xdr:rowOff>0</xdr:rowOff>
    </xdr:to>
    <xdr:pic>
      <xdr:nvPicPr>
        <xdr:cNvPr id="152" name="图片 151">
          <a:extLst>
            <a:ext uri="{FF2B5EF4-FFF2-40B4-BE49-F238E27FC236}">
              <a16:creationId xmlns:a16="http://schemas.microsoft.com/office/drawing/2014/main" id="{D7767446-880A-4928-AA9D-66E026C23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 r:link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143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</xdr:col>
      <xdr:colOff>0</xdr:colOff>
      <xdr:row>41</xdr:row>
      <xdr:rowOff>0</xdr:rowOff>
    </xdr:to>
    <xdr:pic>
      <xdr:nvPicPr>
        <xdr:cNvPr id="156" name="图片 155">
          <a:extLst>
            <a:ext uri="{FF2B5EF4-FFF2-40B4-BE49-F238E27FC236}">
              <a16:creationId xmlns:a16="http://schemas.microsoft.com/office/drawing/2014/main" id="{6454C0BD-5216-4E10-BDFC-96EFE5185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 r:link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53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1</xdr:col>
      <xdr:colOff>0</xdr:colOff>
      <xdr:row>42</xdr:row>
      <xdr:rowOff>0</xdr:rowOff>
    </xdr:to>
    <xdr:pic>
      <xdr:nvPicPr>
        <xdr:cNvPr id="160" name="图片 159">
          <a:extLst>
            <a:ext uri="{FF2B5EF4-FFF2-40B4-BE49-F238E27FC236}">
              <a16:creationId xmlns:a16="http://schemas.microsoft.com/office/drawing/2014/main" id="{F40545EA-A229-475F-B9D6-47A696D80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 r:link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562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</xdr:row>
      <xdr:rowOff>0</xdr:rowOff>
    </xdr:from>
    <xdr:to>
      <xdr:col>1</xdr:col>
      <xdr:colOff>0</xdr:colOff>
      <xdr:row>43</xdr:row>
      <xdr:rowOff>0</xdr:rowOff>
    </xdr:to>
    <xdr:pic>
      <xdr:nvPicPr>
        <xdr:cNvPr id="164" name="图片 163">
          <a:extLst>
            <a:ext uri="{FF2B5EF4-FFF2-40B4-BE49-F238E27FC236}">
              <a16:creationId xmlns:a16="http://schemas.microsoft.com/office/drawing/2014/main" id="{1CA6E325-D7DC-4964-B9C3-EDC872807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 r:link="rId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772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1</xdr:col>
      <xdr:colOff>0</xdr:colOff>
      <xdr:row>44</xdr:row>
      <xdr:rowOff>0</xdr:rowOff>
    </xdr:to>
    <xdr:pic>
      <xdr:nvPicPr>
        <xdr:cNvPr id="168" name="图片 167">
          <a:extLst>
            <a:ext uri="{FF2B5EF4-FFF2-40B4-BE49-F238E27FC236}">
              <a16:creationId xmlns:a16="http://schemas.microsoft.com/office/drawing/2014/main" id="{CE0BB7CB-4383-4DA7-8D26-C2AAC4055C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 r:link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82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1</xdr:col>
      <xdr:colOff>0</xdr:colOff>
      <xdr:row>45</xdr:row>
      <xdr:rowOff>0</xdr:rowOff>
    </xdr:to>
    <xdr:pic>
      <xdr:nvPicPr>
        <xdr:cNvPr id="172" name="图片 171">
          <a:extLst>
            <a:ext uri="{FF2B5EF4-FFF2-40B4-BE49-F238E27FC236}">
              <a16:creationId xmlns:a16="http://schemas.microsoft.com/office/drawing/2014/main" id="{079D1940-32D4-465F-8F91-2C2B09561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 r:link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191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45</xdr:row>
      <xdr:rowOff>0</xdr:rowOff>
    </xdr:from>
    <xdr:to>
      <xdr:col>1</xdr:col>
      <xdr:colOff>0</xdr:colOff>
      <xdr:row>46</xdr:row>
      <xdr:rowOff>0</xdr:rowOff>
    </xdr:to>
    <xdr:pic>
      <xdr:nvPicPr>
        <xdr:cNvPr id="176" name="图片 175">
          <a:extLst>
            <a:ext uri="{FF2B5EF4-FFF2-40B4-BE49-F238E27FC236}">
              <a16:creationId xmlns:a16="http://schemas.microsoft.com/office/drawing/2014/main" id="{5498EE53-EE5D-4AD8-9D75-A5ECC909E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 r:link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01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</xdr:row>
      <xdr:rowOff>0</xdr:rowOff>
    </xdr:from>
    <xdr:to>
      <xdr:col>1</xdr:col>
      <xdr:colOff>0</xdr:colOff>
      <xdr:row>47</xdr:row>
      <xdr:rowOff>0</xdr:rowOff>
    </xdr:to>
    <xdr:pic>
      <xdr:nvPicPr>
        <xdr:cNvPr id="180" name="图片 179">
          <a:extLst>
            <a:ext uri="{FF2B5EF4-FFF2-40B4-BE49-F238E27FC236}">
              <a16:creationId xmlns:a16="http://schemas.microsoft.com/office/drawing/2014/main" id="{38A4C06F-3521-4CC1-B51F-DFCD5868D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 r:link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10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</xdr:col>
      <xdr:colOff>0</xdr:colOff>
      <xdr:row>48</xdr:row>
      <xdr:rowOff>0</xdr:rowOff>
    </xdr:to>
    <xdr:pic>
      <xdr:nvPicPr>
        <xdr:cNvPr id="184" name="图片 183">
          <a:extLst>
            <a:ext uri="{FF2B5EF4-FFF2-40B4-BE49-F238E27FC236}">
              <a16:creationId xmlns:a16="http://schemas.microsoft.com/office/drawing/2014/main" id="{D8A10331-E83F-4FF5-B73B-45C64070E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 r:link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820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48</xdr:row>
      <xdr:rowOff>0</xdr:rowOff>
    </xdr:from>
    <xdr:to>
      <xdr:col>1</xdr:col>
      <xdr:colOff>0</xdr:colOff>
      <xdr:row>49</xdr:row>
      <xdr:rowOff>0</xdr:rowOff>
    </xdr:to>
    <xdr:pic>
      <xdr:nvPicPr>
        <xdr:cNvPr id="188" name="图片 187">
          <a:extLst>
            <a:ext uri="{FF2B5EF4-FFF2-40B4-BE49-F238E27FC236}">
              <a16:creationId xmlns:a16="http://schemas.microsoft.com/office/drawing/2014/main" id="{CD3092C8-D7CB-4BC3-A38D-1AFB471AC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 r:link="rId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029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1</xdr:col>
      <xdr:colOff>0</xdr:colOff>
      <xdr:row>50</xdr:row>
      <xdr:rowOff>0</xdr:rowOff>
    </xdr:to>
    <xdr:pic>
      <xdr:nvPicPr>
        <xdr:cNvPr id="192" name="图片 191">
          <a:extLst>
            <a:ext uri="{FF2B5EF4-FFF2-40B4-BE49-F238E27FC236}">
              <a16:creationId xmlns:a16="http://schemas.microsoft.com/office/drawing/2014/main" id="{82D26C2A-328D-4010-8EB8-A7E1E0BAD5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 r:link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239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</xdr:row>
      <xdr:rowOff>0</xdr:rowOff>
    </xdr:from>
    <xdr:to>
      <xdr:col>1</xdr:col>
      <xdr:colOff>0</xdr:colOff>
      <xdr:row>51</xdr:row>
      <xdr:rowOff>0</xdr:rowOff>
    </xdr:to>
    <xdr:pic>
      <xdr:nvPicPr>
        <xdr:cNvPr id="196" name="图片 195">
          <a:extLst>
            <a:ext uri="{FF2B5EF4-FFF2-40B4-BE49-F238E27FC236}">
              <a16:creationId xmlns:a16="http://schemas.microsoft.com/office/drawing/2014/main" id="{3D1C8316-1E80-49C9-956E-73A3AD850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 r:link="rId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48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1</xdr:col>
      <xdr:colOff>0</xdr:colOff>
      <xdr:row>52</xdr:row>
      <xdr:rowOff>0</xdr:rowOff>
    </xdr:to>
    <xdr:pic>
      <xdr:nvPicPr>
        <xdr:cNvPr id="200" name="图片 199">
          <a:extLst>
            <a:ext uri="{FF2B5EF4-FFF2-40B4-BE49-F238E27FC236}">
              <a16:creationId xmlns:a16="http://schemas.microsoft.com/office/drawing/2014/main" id="{97F123AB-3DE8-4AD7-869B-7C26091B3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 r:link="rId1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658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0</xdr:rowOff>
    </xdr:from>
    <xdr:to>
      <xdr:col>1</xdr:col>
      <xdr:colOff>0</xdr:colOff>
      <xdr:row>53</xdr:row>
      <xdr:rowOff>0</xdr:rowOff>
    </xdr:to>
    <xdr:pic>
      <xdr:nvPicPr>
        <xdr:cNvPr id="204" name="图片 203">
          <a:extLst>
            <a:ext uri="{FF2B5EF4-FFF2-40B4-BE49-F238E27FC236}">
              <a16:creationId xmlns:a16="http://schemas.microsoft.com/office/drawing/2014/main" id="{C3CA470A-41B4-46EC-87DB-F1C5C55FB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 r:link="rId1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868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0</xdr:rowOff>
    </xdr:from>
    <xdr:to>
      <xdr:col>1</xdr:col>
      <xdr:colOff>0</xdr:colOff>
      <xdr:row>54</xdr:row>
      <xdr:rowOff>0</xdr:rowOff>
    </xdr:to>
    <xdr:pic>
      <xdr:nvPicPr>
        <xdr:cNvPr id="206" name="图片 205">
          <a:extLst>
            <a:ext uri="{FF2B5EF4-FFF2-40B4-BE49-F238E27FC236}">
              <a16:creationId xmlns:a16="http://schemas.microsoft.com/office/drawing/2014/main" id="{89531868-B5E3-4205-B33A-22CEFFE5FB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 r:link="rId1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077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</xdr:row>
      <xdr:rowOff>0</xdr:rowOff>
    </xdr:from>
    <xdr:to>
      <xdr:col>1</xdr:col>
      <xdr:colOff>0</xdr:colOff>
      <xdr:row>55</xdr:row>
      <xdr:rowOff>0</xdr:rowOff>
    </xdr:to>
    <xdr:pic>
      <xdr:nvPicPr>
        <xdr:cNvPr id="208" name="图片 207">
          <a:extLst>
            <a:ext uri="{FF2B5EF4-FFF2-40B4-BE49-F238E27FC236}">
              <a16:creationId xmlns:a16="http://schemas.microsoft.com/office/drawing/2014/main" id="{246215C9-FAF3-411D-A71F-3E9840C2D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 r:link="rId1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287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55</xdr:row>
      <xdr:rowOff>0</xdr:rowOff>
    </xdr:from>
    <xdr:to>
      <xdr:col>1</xdr:col>
      <xdr:colOff>0</xdr:colOff>
      <xdr:row>56</xdr:row>
      <xdr:rowOff>0</xdr:rowOff>
    </xdr:to>
    <xdr:pic>
      <xdr:nvPicPr>
        <xdr:cNvPr id="210" name="图片 209">
          <a:extLst>
            <a:ext uri="{FF2B5EF4-FFF2-40B4-BE49-F238E27FC236}">
              <a16:creationId xmlns:a16="http://schemas.microsoft.com/office/drawing/2014/main" id="{1C3528EE-1534-4062-94B2-B85860932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 r:link="rId1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496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0</xdr:rowOff>
    </xdr:from>
    <xdr:to>
      <xdr:col>1</xdr:col>
      <xdr:colOff>0</xdr:colOff>
      <xdr:row>57</xdr:row>
      <xdr:rowOff>0</xdr:rowOff>
    </xdr:to>
    <xdr:pic>
      <xdr:nvPicPr>
        <xdr:cNvPr id="212" name="图片 211">
          <a:extLst>
            <a:ext uri="{FF2B5EF4-FFF2-40B4-BE49-F238E27FC236}">
              <a16:creationId xmlns:a16="http://schemas.microsoft.com/office/drawing/2014/main" id="{1B9D5BB6-A5F8-4B8E-BBA2-837718EB6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 r:link="rId1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706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1</xdr:col>
      <xdr:colOff>0</xdr:colOff>
      <xdr:row>58</xdr:row>
      <xdr:rowOff>0</xdr:rowOff>
    </xdr:to>
    <xdr:pic>
      <xdr:nvPicPr>
        <xdr:cNvPr id="214" name="图片 213">
          <a:extLst>
            <a:ext uri="{FF2B5EF4-FFF2-40B4-BE49-F238E27FC236}">
              <a16:creationId xmlns:a16="http://schemas.microsoft.com/office/drawing/2014/main" id="{39001C24-9ED6-4E5C-BD7D-5C3D62D6B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 r:link="rId1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915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</xdr:col>
      <xdr:colOff>0</xdr:colOff>
      <xdr:row>59</xdr:row>
      <xdr:rowOff>0</xdr:rowOff>
    </xdr:to>
    <xdr:pic>
      <xdr:nvPicPr>
        <xdr:cNvPr id="216" name="图片 215">
          <a:extLst>
            <a:ext uri="{FF2B5EF4-FFF2-40B4-BE49-F238E27FC236}">
              <a16:creationId xmlns:a16="http://schemas.microsoft.com/office/drawing/2014/main" id="{376C9741-4EEB-435A-8C17-A84BE1DD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 r:link="rId1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125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</xdr:col>
      <xdr:colOff>0</xdr:colOff>
      <xdr:row>60</xdr:row>
      <xdr:rowOff>0</xdr:rowOff>
    </xdr:to>
    <xdr:pic>
      <xdr:nvPicPr>
        <xdr:cNvPr id="218" name="图片 217">
          <a:extLst>
            <a:ext uri="{FF2B5EF4-FFF2-40B4-BE49-F238E27FC236}">
              <a16:creationId xmlns:a16="http://schemas.microsoft.com/office/drawing/2014/main" id="{0F81C074-EF7A-4531-945A-1C7DB843B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 r:link="rId1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334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60</xdr:row>
      <xdr:rowOff>0</xdr:rowOff>
    </xdr:from>
    <xdr:to>
      <xdr:col>1</xdr:col>
      <xdr:colOff>0</xdr:colOff>
      <xdr:row>61</xdr:row>
      <xdr:rowOff>0</xdr:rowOff>
    </xdr:to>
    <xdr:pic>
      <xdr:nvPicPr>
        <xdr:cNvPr id="220" name="图片 219">
          <a:extLst>
            <a:ext uri="{FF2B5EF4-FFF2-40B4-BE49-F238E27FC236}">
              <a16:creationId xmlns:a16="http://schemas.microsoft.com/office/drawing/2014/main" id="{827B739E-8601-4B89-BB8A-956F3B1B7B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 r:link="rId1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544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1</xdr:col>
      <xdr:colOff>0</xdr:colOff>
      <xdr:row>62</xdr:row>
      <xdr:rowOff>0</xdr:rowOff>
    </xdr:to>
    <xdr:pic>
      <xdr:nvPicPr>
        <xdr:cNvPr id="222" name="图片 221">
          <a:extLst>
            <a:ext uri="{FF2B5EF4-FFF2-40B4-BE49-F238E27FC236}">
              <a16:creationId xmlns:a16="http://schemas.microsoft.com/office/drawing/2014/main" id="{0A546B5B-6634-4B4F-8D7D-D60924F38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 r:link="rId1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53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0</xdr:rowOff>
    </xdr:from>
    <xdr:to>
      <xdr:col>1</xdr:col>
      <xdr:colOff>0</xdr:colOff>
      <xdr:row>63</xdr:row>
      <xdr:rowOff>0</xdr:rowOff>
    </xdr:to>
    <xdr:pic>
      <xdr:nvPicPr>
        <xdr:cNvPr id="224" name="图片 223">
          <a:extLst>
            <a:ext uri="{FF2B5EF4-FFF2-40B4-BE49-F238E27FC236}">
              <a16:creationId xmlns:a16="http://schemas.microsoft.com/office/drawing/2014/main" id="{133317DB-E171-456E-A65A-A42FD2766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 r:link="rId1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963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</xdr:col>
      <xdr:colOff>0</xdr:colOff>
      <xdr:row>64</xdr:row>
      <xdr:rowOff>0</xdr:rowOff>
    </xdr:to>
    <xdr:pic>
      <xdr:nvPicPr>
        <xdr:cNvPr id="226" name="图片 225">
          <a:extLst>
            <a:ext uri="{FF2B5EF4-FFF2-40B4-BE49-F238E27FC236}">
              <a16:creationId xmlns:a16="http://schemas.microsoft.com/office/drawing/2014/main" id="{CB348514-596B-41D8-BF5F-DA8574FA0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 r:link="rId1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173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1</xdr:col>
      <xdr:colOff>0</xdr:colOff>
      <xdr:row>65</xdr:row>
      <xdr:rowOff>0</xdr:rowOff>
    </xdr:to>
    <xdr:pic>
      <xdr:nvPicPr>
        <xdr:cNvPr id="228" name="图片 227">
          <a:extLst>
            <a:ext uri="{FF2B5EF4-FFF2-40B4-BE49-F238E27FC236}">
              <a16:creationId xmlns:a16="http://schemas.microsoft.com/office/drawing/2014/main" id="{AAAA5E8E-898A-47FB-9374-53BBBB3F9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 r:link="rId1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82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1</xdr:col>
      <xdr:colOff>0</xdr:colOff>
      <xdr:row>66</xdr:row>
      <xdr:rowOff>0</xdr:rowOff>
    </xdr:to>
    <xdr:pic>
      <xdr:nvPicPr>
        <xdr:cNvPr id="230" name="图片 229">
          <a:extLst>
            <a:ext uri="{FF2B5EF4-FFF2-40B4-BE49-F238E27FC236}">
              <a16:creationId xmlns:a16="http://schemas.microsoft.com/office/drawing/2014/main" id="{AF9CC2A6-3DC1-40E6-9BE2-712FF73EE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 r:link="rId1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592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0</xdr:rowOff>
    </xdr:from>
    <xdr:to>
      <xdr:col>1</xdr:col>
      <xdr:colOff>0</xdr:colOff>
      <xdr:row>67</xdr:row>
      <xdr:rowOff>0</xdr:rowOff>
    </xdr:to>
    <xdr:pic>
      <xdr:nvPicPr>
        <xdr:cNvPr id="232" name="图片 231">
          <a:extLst>
            <a:ext uri="{FF2B5EF4-FFF2-40B4-BE49-F238E27FC236}">
              <a16:creationId xmlns:a16="http://schemas.microsoft.com/office/drawing/2014/main" id="{0207C979-D4BC-402D-BD92-6520151E5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 r:link="rId1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801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0</xdr:rowOff>
    </xdr:from>
    <xdr:to>
      <xdr:col>1</xdr:col>
      <xdr:colOff>0</xdr:colOff>
      <xdr:row>68</xdr:row>
      <xdr:rowOff>0</xdr:rowOff>
    </xdr:to>
    <xdr:pic>
      <xdr:nvPicPr>
        <xdr:cNvPr id="234" name="图片 233">
          <a:extLst>
            <a:ext uri="{FF2B5EF4-FFF2-40B4-BE49-F238E27FC236}">
              <a16:creationId xmlns:a16="http://schemas.microsoft.com/office/drawing/2014/main" id="{90478602-26DA-444B-850A-F691AC5C6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 r:link="rId1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011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</xdr:col>
      <xdr:colOff>0</xdr:colOff>
      <xdr:row>69</xdr:row>
      <xdr:rowOff>0</xdr:rowOff>
    </xdr:to>
    <xdr:pic>
      <xdr:nvPicPr>
        <xdr:cNvPr id="236" name="图片 235">
          <a:extLst>
            <a:ext uri="{FF2B5EF4-FFF2-40B4-BE49-F238E27FC236}">
              <a16:creationId xmlns:a16="http://schemas.microsoft.com/office/drawing/2014/main" id="{B212AED1-7250-4B6A-820B-F28FB4C39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 r:link="rId1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20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</xdr:col>
      <xdr:colOff>0</xdr:colOff>
      <xdr:row>70</xdr:row>
      <xdr:rowOff>0</xdr:rowOff>
    </xdr:to>
    <xdr:pic>
      <xdr:nvPicPr>
        <xdr:cNvPr id="238" name="图片 237">
          <a:extLst>
            <a:ext uri="{FF2B5EF4-FFF2-40B4-BE49-F238E27FC236}">
              <a16:creationId xmlns:a16="http://schemas.microsoft.com/office/drawing/2014/main" id="{F50CA759-429A-4A94-A287-F4D980761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 r:link="rId1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430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0</xdr:colOff>
      <xdr:row>71</xdr:row>
      <xdr:rowOff>0</xdr:rowOff>
    </xdr:to>
    <xdr:pic>
      <xdr:nvPicPr>
        <xdr:cNvPr id="240" name="图片 239">
          <a:extLst>
            <a:ext uri="{FF2B5EF4-FFF2-40B4-BE49-F238E27FC236}">
              <a16:creationId xmlns:a16="http://schemas.microsoft.com/office/drawing/2014/main" id="{3E2BCF55-BDAE-4ED4-8F47-15B5E77A5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 r:link="rId1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39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71</xdr:row>
      <xdr:rowOff>0</xdr:rowOff>
    </xdr:from>
    <xdr:to>
      <xdr:col>1</xdr:col>
      <xdr:colOff>0</xdr:colOff>
      <xdr:row>72</xdr:row>
      <xdr:rowOff>0</xdr:rowOff>
    </xdr:to>
    <xdr:pic>
      <xdr:nvPicPr>
        <xdr:cNvPr id="242" name="图片 241">
          <a:extLst>
            <a:ext uri="{FF2B5EF4-FFF2-40B4-BE49-F238E27FC236}">
              <a16:creationId xmlns:a16="http://schemas.microsoft.com/office/drawing/2014/main" id="{AA758F65-CD3C-4192-B72D-A7352815C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 r:link="rId1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49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1</xdr:col>
      <xdr:colOff>0</xdr:colOff>
      <xdr:row>73</xdr:row>
      <xdr:rowOff>0</xdr:rowOff>
    </xdr:to>
    <xdr:pic>
      <xdr:nvPicPr>
        <xdr:cNvPr id="244" name="图片 243">
          <a:extLst>
            <a:ext uri="{FF2B5EF4-FFF2-40B4-BE49-F238E27FC236}">
              <a16:creationId xmlns:a16="http://schemas.microsoft.com/office/drawing/2014/main" id="{CC4EAB79-3024-4675-9B45-E4E2017502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 r:link="rId1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059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1</xdr:col>
      <xdr:colOff>0</xdr:colOff>
      <xdr:row>74</xdr:row>
      <xdr:rowOff>0</xdr:rowOff>
    </xdr:to>
    <xdr:pic>
      <xdr:nvPicPr>
        <xdr:cNvPr id="246" name="图片 245">
          <a:extLst>
            <a:ext uri="{FF2B5EF4-FFF2-40B4-BE49-F238E27FC236}">
              <a16:creationId xmlns:a16="http://schemas.microsoft.com/office/drawing/2014/main" id="{63D311C2-13E6-4FB2-998E-5BD052202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 r:link="rId1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68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1</xdr:col>
      <xdr:colOff>0</xdr:colOff>
      <xdr:row>75</xdr:row>
      <xdr:rowOff>0</xdr:rowOff>
    </xdr:to>
    <xdr:pic>
      <xdr:nvPicPr>
        <xdr:cNvPr id="248" name="图片 247">
          <a:extLst>
            <a:ext uri="{FF2B5EF4-FFF2-40B4-BE49-F238E27FC236}">
              <a16:creationId xmlns:a16="http://schemas.microsoft.com/office/drawing/2014/main" id="{642EB16F-D5DA-4C0E-BDBA-E917F28B9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 r:link="rId1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478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75</xdr:row>
      <xdr:rowOff>0</xdr:rowOff>
    </xdr:from>
    <xdr:to>
      <xdr:col>1</xdr:col>
      <xdr:colOff>0</xdr:colOff>
      <xdr:row>76</xdr:row>
      <xdr:rowOff>0</xdr:rowOff>
    </xdr:to>
    <xdr:pic>
      <xdr:nvPicPr>
        <xdr:cNvPr id="250" name="图片 249">
          <a:extLst>
            <a:ext uri="{FF2B5EF4-FFF2-40B4-BE49-F238E27FC236}">
              <a16:creationId xmlns:a16="http://schemas.microsoft.com/office/drawing/2014/main" id="{798AE720-8BC5-4A16-8D1A-9217DCA15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 r:link="rId1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687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76</xdr:row>
      <xdr:rowOff>0</xdr:rowOff>
    </xdr:from>
    <xdr:to>
      <xdr:col>1</xdr:col>
      <xdr:colOff>0</xdr:colOff>
      <xdr:row>77</xdr:row>
      <xdr:rowOff>0</xdr:rowOff>
    </xdr:to>
    <xdr:pic>
      <xdr:nvPicPr>
        <xdr:cNvPr id="252" name="图片 251">
          <a:extLst>
            <a:ext uri="{FF2B5EF4-FFF2-40B4-BE49-F238E27FC236}">
              <a16:creationId xmlns:a16="http://schemas.microsoft.com/office/drawing/2014/main" id="{AAF9BE96-1A63-463D-8065-79ADA2A53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 r:link="rId1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897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</xdr:col>
      <xdr:colOff>0</xdr:colOff>
      <xdr:row>78</xdr:row>
      <xdr:rowOff>0</xdr:rowOff>
    </xdr:to>
    <xdr:pic>
      <xdr:nvPicPr>
        <xdr:cNvPr id="254" name="图片 253">
          <a:extLst>
            <a:ext uri="{FF2B5EF4-FFF2-40B4-BE49-F238E27FC236}">
              <a16:creationId xmlns:a16="http://schemas.microsoft.com/office/drawing/2014/main" id="{BD60EE1B-5590-41C6-AD78-6D9B90CCB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 r:link="rId1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106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</xdr:col>
      <xdr:colOff>0</xdr:colOff>
      <xdr:row>79</xdr:row>
      <xdr:rowOff>0</xdr:rowOff>
    </xdr:to>
    <xdr:pic>
      <xdr:nvPicPr>
        <xdr:cNvPr id="256" name="图片 255">
          <a:extLst>
            <a:ext uri="{FF2B5EF4-FFF2-40B4-BE49-F238E27FC236}">
              <a16:creationId xmlns:a16="http://schemas.microsoft.com/office/drawing/2014/main" id="{75239BF8-4210-42B2-B213-EF2A7B984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 r:link="rId1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16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1</xdr:col>
      <xdr:colOff>0</xdr:colOff>
      <xdr:row>80</xdr:row>
      <xdr:rowOff>0</xdr:rowOff>
    </xdr:to>
    <xdr:pic>
      <xdr:nvPicPr>
        <xdr:cNvPr id="258" name="图片 257">
          <a:extLst>
            <a:ext uri="{FF2B5EF4-FFF2-40B4-BE49-F238E27FC236}">
              <a16:creationId xmlns:a16="http://schemas.microsoft.com/office/drawing/2014/main" id="{8B122C86-DE02-43DA-B503-56E7C5EC31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 r:link="rId1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525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80</xdr:row>
      <xdr:rowOff>0</xdr:rowOff>
    </xdr:from>
    <xdr:to>
      <xdr:col>1</xdr:col>
      <xdr:colOff>0</xdr:colOff>
      <xdr:row>81</xdr:row>
      <xdr:rowOff>0</xdr:rowOff>
    </xdr:to>
    <xdr:pic>
      <xdr:nvPicPr>
        <xdr:cNvPr id="260" name="图片 259">
          <a:extLst>
            <a:ext uri="{FF2B5EF4-FFF2-40B4-BE49-F238E27FC236}">
              <a16:creationId xmlns:a16="http://schemas.microsoft.com/office/drawing/2014/main" id="{03FE773C-C8EA-407A-B8B6-410844600F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 r:link="rId1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735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1</xdr:col>
      <xdr:colOff>0</xdr:colOff>
      <xdr:row>82</xdr:row>
      <xdr:rowOff>0</xdr:rowOff>
    </xdr:to>
    <xdr:pic>
      <xdr:nvPicPr>
        <xdr:cNvPr id="262" name="图片 261">
          <a:extLst>
            <a:ext uri="{FF2B5EF4-FFF2-40B4-BE49-F238E27FC236}">
              <a16:creationId xmlns:a16="http://schemas.microsoft.com/office/drawing/2014/main" id="{76E5C01B-FA09-495B-A13A-7ED2DBD4B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 r:link="rId1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944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82</xdr:row>
      <xdr:rowOff>0</xdr:rowOff>
    </xdr:from>
    <xdr:to>
      <xdr:col>1</xdr:col>
      <xdr:colOff>0</xdr:colOff>
      <xdr:row>83</xdr:row>
      <xdr:rowOff>0</xdr:rowOff>
    </xdr:to>
    <xdr:pic>
      <xdr:nvPicPr>
        <xdr:cNvPr id="264" name="图片 263">
          <a:extLst>
            <a:ext uri="{FF2B5EF4-FFF2-40B4-BE49-F238E27FC236}">
              <a16:creationId xmlns:a16="http://schemas.microsoft.com/office/drawing/2014/main" id="{71EE2CB3-9EAF-4B6E-B476-AB3491495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 r:link="rId1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54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1</xdr:col>
      <xdr:colOff>0</xdr:colOff>
      <xdr:row>84</xdr:row>
      <xdr:rowOff>0</xdr:rowOff>
    </xdr:to>
    <xdr:pic>
      <xdr:nvPicPr>
        <xdr:cNvPr id="266" name="图片 265">
          <a:extLst>
            <a:ext uri="{FF2B5EF4-FFF2-40B4-BE49-F238E27FC236}">
              <a16:creationId xmlns:a16="http://schemas.microsoft.com/office/drawing/2014/main" id="{F85D0333-2416-4DE6-ACC0-18953B5CF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 r:link="rId1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364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84</xdr:row>
      <xdr:rowOff>0</xdr:rowOff>
    </xdr:from>
    <xdr:to>
      <xdr:col>1</xdr:col>
      <xdr:colOff>0</xdr:colOff>
      <xdr:row>85</xdr:row>
      <xdr:rowOff>0</xdr:rowOff>
    </xdr:to>
    <xdr:pic>
      <xdr:nvPicPr>
        <xdr:cNvPr id="268" name="图片 267">
          <a:extLst>
            <a:ext uri="{FF2B5EF4-FFF2-40B4-BE49-F238E27FC236}">
              <a16:creationId xmlns:a16="http://schemas.microsoft.com/office/drawing/2014/main" id="{17F827C1-B93F-49BC-A2DC-AA84EB661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 r:link="rId1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573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</xdr:row>
      <xdr:rowOff>0</xdr:rowOff>
    </xdr:from>
    <xdr:to>
      <xdr:col>1</xdr:col>
      <xdr:colOff>0</xdr:colOff>
      <xdr:row>86</xdr:row>
      <xdr:rowOff>0</xdr:rowOff>
    </xdr:to>
    <xdr:pic>
      <xdr:nvPicPr>
        <xdr:cNvPr id="270" name="图片 269">
          <a:extLst>
            <a:ext uri="{FF2B5EF4-FFF2-40B4-BE49-F238E27FC236}">
              <a16:creationId xmlns:a16="http://schemas.microsoft.com/office/drawing/2014/main" id="{B6E4C030-DA13-4AF1-B301-6D3518782B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 r:link="rId1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7831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1</xdr:col>
      <xdr:colOff>0</xdr:colOff>
      <xdr:row>87</xdr:row>
      <xdr:rowOff>0</xdr:rowOff>
    </xdr:to>
    <xdr:pic>
      <xdr:nvPicPr>
        <xdr:cNvPr id="272" name="图片 271">
          <a:extLst>
            <a:ext uri="{FF2B5EF4-FFF2-40B4-BE49-F238E27FC236}">
              <a16:creationId xmlns:a16="http://schemas.microsoft.com/office/drawing/2014/main" id="{A27B07D3-301D-4588-B3E8-F5023A1E7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 r:link="rId1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9927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0</xdr:rowOff>
    </xdr:from>
    <xdr:to>
      <xdr:col>1</xdr:col>
      <xdr:colOff>0</xdr:colOff>
      <xdr:row>88</xdr:row>
      <xdr:rowOff>0</xdr:rowOff>
    </xdr:to>
    <xdr:pic>
      <xdr:nvPicPr>
        <xdr:cNvPr id="274" name="图片 273">
          <a:extLst>
            <a:ext uri="{FF2B5EF4-FFF2-40B4-BE49-F238E27FC236}">
              <a16:creationId xmlns:a16="http://schemas.microsoft.com/office/drawing/2014/main" id="{B92A8519-6C79-4CF0-B40D-7A2A41057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 r:link="rId17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2022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1</xdr:col>
      <xdr:colOff>0</xdr:colOff>
      <xdr:row>89</xdr:row>
      <xdr:rowOff>0</xdr:rowOff>
    </xdr:to>
    <xdr:pic>
      <xdr:nvPicPr>
        <xdr:cNvPr id="276" name="图片 275">
          <a:extLst>
            <a:ext uri="{FF2B5EF4-FFF2-40B4-BE49-F238E27FC236}">
              <a16:creationId xmlns:a16="http://schemas.microsoft.com/office/drawing/2014/main" id="{54B39E6F-DB1B-4325-9952-47782B179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 r:link="rId17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4118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</xdr:col>
      <xdr:colOff>0</xdr:colOff>
      <xdr:row>90</xdr:row>
      <xdr:rowOff>0</xdr:rowOff>
    </xdr:to>
    <xdr:pic>
      <xdr:nvPicPr>
        <xdr:cNvPr id="278" name="图片 277">
          <a:extLst>
            <a:ext uri="{FF2B5EF4-FFF2-40B4-BE49-F238E27FC236}">
              <a16:creationId xmlns:a16="http://schemas.microsoft.com/office/drawing/2014/main" id="{3285394A-FCD7-4C12-8127-8F5F78EB8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 r:link="rId1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6213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</xdr:col>
      <xdr:colOff>0</xdr:colOff>
      <xdr:row>91</xdr:row>
      <xdr:rowOff>0</xdr:rowOff>
    </xdr:to>
    <xdr:pic>
      <xdr:nvPicPr>
        <xdr:cNvPr id="280" name="图片 279">
          <a:extLst>
            <a:ext uri="{FF2B5EF4-FFF2-40B4-BE49-F238E27FC236}">
              <a16:creationId xmlns:a16="http://schemas.microsoft.com/office/drawing/2014/main" id="{3009C305-B0F2-45A1-ADD9-AB82C100DD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 r:link="rId1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8309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91</xdr:row>
      <xdr:rowOff>0</xdr:rowOff>
    </xdr:from>
    <xdr:to>
      <xdr:col>1</xdr:col>
      <xdr:colOff>0</xdr:colOff>
      <xdr:row>92</xdr:row>
      <xdr:rowOff>0</xdr:rowOff>
    </xdr:to>
    <xdr:pic>
      <xdr:nvPicPr>
        <xdr:cNvPr id="282" name="图片 281">
          <a:extLst>
            <a:ext uri="{FF2B5EF4-FFF2-40B4-BE49-F238E27FC236}">
              <a16:creationId xmlns:a16="http://schemas.microsoft.com/office/drawing/2014/main" id="{226E3749-9F72-4622-8637-68DFC5435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 r:link="rId1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404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</xdr:col>
      <xdr:colOff>0</xdr:colOff>
      <xdr:row>93</xdr:row>
      <xdr:rowOff>0</xdr:rowOff>
    </xdr:to>
    <xdr:pic>
      <xdr:nvPicPr>
        <xdr:cNvPr id="284" name="图片 283">
          <a:extLst>
            <a:ext uri="{FF2B5EF4-FFF2-40B4-BE49-F238E27FC236}">
              <a16:creationId xmlns:a16="http://schemas.microsoft.com/office/drawing/2014/main" id="{D584A89E-D67D-435B-9128-08AF822AD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 r:link="rId18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2500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</xdr:row>
      <xdr:rowOff>0</xdr:rowOff>
    </xdr:from>
    <xdr:to>
      <xdr:col>1</xdr:col>
      <xdr:colOff>0</xdr:colOff>
      <xdr:row>94</xdr:row>
      <xdr:rowOff>0</xdr:rowOff>
    </xdr:to>
    <xdr:pic>
      <xdr:nvPicPr>
        <xdr:cNvPr id="286" name="图片 285">
          <a:extLst>
            <a:ext uri="{FF2B5EF4-FFF2-40B4-BE49-F238E27FC236}">
              <a16:creationId xmlns:a16="http://schemas.microsoft.com/office/drawing/2014/main" id="{8DA8E2A6-2953-4169-9394-767BBB3C4B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 r:link="rId1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4595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</xdr:col>
      <xdr:colOff>0</xdr:colOff>
      <xdr:row>95</xdr:row>
      <xdr:rowOff>0</xdr:rowOff>
    </xdr:to>
    <xdr:pic>
      <xdr:nvPicPr>
        <xdr:cNvPr id="288" name="图片 287">
          <a:extLst>
            <a:ext uri="{FF2B5EF4-FFF2-40B4-BE49-F238E27FC236}">
              <a16:creationId xmlns:a16="http://schemas.microsoft.com/office/drawing/2014/main" id="{15632C26-A098-48C9-A871-593789506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 r:link="rId1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6691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0</xdr:rowOff>
    </xdr:from>
    <xdr:to>
      <xdr:col>1</xdr:col>
      <xdr:colOff>0</xdr:colOff>
      <xdr:row>96</xdr:row>
      <xdr:rowOff>0</xdr:rowOff>
    </xdr:to>
    <xdr:pic>
      <xdr:nvPicPr>
        <xdr:cNvPr id="290" name="图片 289">
          <a:extLst>
            <a:ext uri="{FF2B5EF4-FFF2-40B4-BE49-F238E27FC236}">
              <a16:creationId xmlns:a16="http://schemas.microsoft.com/office/drawing/2014/main" id="{C5D022BF-BAD5-4C7E-A866-6DFEFD6F9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 r:link="rId1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786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96</xdr:row>
      <xdr:rowOff>0</xdr:rowOff>
    </xdr:from>
    <xdr:to>
      <xdr:col>1</xdr:col>
      <xdr:colOff>0</xdr:colOff>
      <xdr:row>97</xdr:row>
      <xdr:rowOff>0</xdr:rowOff>
    </xdr:to>
    <xdr:pic>
      <xdr:nvPicPr>
        <xdr:cNvPr id="292" name="图片 291">
          <a:extLst>
            <a:ext uri="{FF2B5EF4-FFF2-40B4-BE49-F238E27FC236}">
              <a16:creationId xmlns:a16="http://schemas.microsoft.com/office/drawing/2014/main" id="{2D456346-CBB8-4F0E-8C1B-F98099634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 r:link="rId1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882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</xdr:col>
      <xdr:colOff>0</xdr:colOff>
      <xdr:row>98</xdr:row>
      <xdr:rowOff>0</xdr:rowOff>
    </xdr:to>
    <xdr:pic>
      <xdr:nvPicPr>
        <xdr:cNvPr id="294" name="图片 293">
          <a:extLst>
            <a:ext uri="{FF2B5EF4-FFF2-40B4-BE49-F238E27FC236}">
              <a16:creationId xmlns:a16="http://schemas.microsoft.com/office/drawing/2014/main" id="{01D1FF63-401F-4856-9AC4-00EBC88C07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 r:link="rId1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2977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98</xdr:row>
      <xdr:rowOff>0</xdr:rowOff>
    </xdr:from>
    <xdr:to>
      <xdr:col>1</xdr:col>
      <xdr:colOff>0</xdr:colOff>
      <xdr:row>99</xdr:row>
      <xdr:rowOff>0</xdr:rowOff>
    </xdr:to>
    <xdr:pic>
      <xdr:nvPicPr>
        <xdr:cNvPr id="296" name="图片 295">
          <a:extLst>
            <a:ext uri="{FF2B5EF4-FFF2-40B4-BE49-F238E27FC236}">
              <a16:creationId xmlns:a16="http://schemas.microsoft.com/office/drawing/2014/main" id="{344C751B-53B6-4E0F-B0E7-281E96BD33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 r:link="rId19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5073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0</xdr:rowOff>
    </xdr:from>
    <xdr:to>
      <xdr:col>1</xdr:col>
      <xdr:colOff>0</xdr:colOff>
      <xdr:row>100</xdr:row>
      <xdr:rowOff>0</xdr:rowOff>
    </xdr:to>
    <xdr:pic>
      <xdr:nvPicPr>
        <xdr:cNvPr id="298" name="图片 297">
          <a:extLst>
            <a:ext uri="{FF2B5EF4-FFF2-40B4-BE49-F238E27FC236}">
              <a16:creationId xmlns:a16="http://schemas.microsoft.com/office/drawing/2014/main" id="{796F6E12-4EF0-4A02-8F59-34F1A2210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 r:link="rId1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7168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100</xdr:row>
      <xdr:rowOff>0</xdr:rowOff>
    </xdr:from>
    <xdr:to>
      <xdr:col>1</xdr:col>
      <xdr:colOff>0</xdr:colOff>
      <xdr:row>101</xdr:row>
      <xdr:rowOff>0</xdr:rowOff>
    </xdr:to>
    <xdr:pic>
      <xdr:nvPicPr>
        <xdr:cNvPr id="300" name="图片 299">
          <a:extLst>
            <a:ext uri="{FF2B5EF4-FFF2-40B4-BE49-F238E27FC236}">
              <a16:creationId xmlns:a16="http://schemas.microsoft.com/office/drawing/2014/main" id="{3A37464F-5C9B-4FC7-9CB7-B5DF6DB2F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 r:link="rId19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264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1</xdr:col>
      <xdr:colOff>0</xdr:colOff>
      <xdr:row>102</xdr:row>
      <xdr:rowOff>0</xdr:rowOff>
    </xdr:to>
    <xdr:pic>
      <xdr:nvPicPr>
        <xdr:cNvPr id="302" name="图片 301">
          <a:extLst>
            <a:ext uri="{FF2B5EF4-FFF2-40B4-BE49-F238E27FC236}">
              <a16:creationId xmlns:a16="http://schemas.microsoft.com/office/drawing/2014/main" id="{138E4A3D-9B3D-4F59-B6C7-8B29C929E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 r:link="rId20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1359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102</xdr:row>
      <xdr:rowOff>0</xdr:rowOff>
    </xdr:from>
    <xdr:to>
      <xdr:col>1</xdr:col>
      <xdr:colOff>0</xdr:colOff>
      <xdr:row>103</xdr:row>
      <xdr:rowOff>0</xdr:rowOff>
    </xdr:to>
    <xdr:pic>
      <xdr:nvPicPr>
        <xdr:cNvPr id="304" name="图片 303">
          <a:extLst>
            <a:ext uri="{FF2B5EF4-FFF2-40B4-BE49-F238E27FC236}">
              <a16:creationId xmlns:a16="http://schemas.microsoft.com/office/drawing/2014/main" id="{56F4CAFD-A2E7-455A-ACB2-D58EF8050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 r:link="rId20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3455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103</xdr:row>
      <xdr:rowOff>0</xdr:rowOff>
    </xdr:from>
    <xdr:to>
      <xdr:col>1</xdr:col>
      <xdr:colOff>0</xdr:colOff>
      <xdr:row>104</xdr:row>
      <xdr:rowOff>0</xdr:rowOff>
    </xdr:to>
    <xdr:pic>
      <xdr:nvPicPr>
        <xdr:cNvPr id="306" name="图片 305">
          <a:extLst>
            <a:ext uri="{FF2B5EF4-FFF2-40B4-BE49-F238E27FC236}">
              <a16:creationId xmlns:a16="http://schemas.microsoft.com/office/drawing/2014/main" id="{2130E44D-1B7D-4938-81B4-6EA1CC39D2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 r:link="rId20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5507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0</xdr:rowOff>
    </xdr:from>
    <xdr:to>
      <xdr:col>1</xdr:col>
      <xdr:colOff>0</xdr:colOff>
      <xdr:row>105</xdr:row>
      <xdr:rowOff>0</xdr:rowOff>
    </xdr:to>
    <xdr:pic>
      <xdr:nvPicPr>
        <xdr:cNvPr id="308" name="图片 307">
          <a:extLst>
            <a:ext uri="{FF2B5EF4-FFF2-40B4-BE49-F238E27FC236}">
              <a16:creationId xmlns:a16="http://schemas.microsoft.com/office/drawing/2014/main" id="{F695A730-62C7-4C0A-B5B0-890EE21FB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 r:link="rId20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764625"/>
          <a:ext cx="219075" cy="2095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105</xdr:row>
      <xdr:rowOff>0</xdr:rowOff>
    </xdr:from>
    <xdr:to>
      <xdr:col>1</xdr:col>
      <xdr:colOff>0</xdr:colOff>
      <xdr:row>106</xdr:row>
      <xdr:rowOff>0</xdr:rowOff>
    </xdr:to>
    <xdr:pic>
      <xdr:nvPicPr>
        <xdr:cNvPr id="310" name="图片 309">
          <a:extLst>
            <a:ext uri="{FF2B5EF4-FFF2-40B4-BE49-F238E27FC236}">
              <a16:creationId xmlns:a16="http://schemas.microsoft.com/office/drawing/2014/main" id="{2629DA94-8AE3-44D9-9DB7-5B674F951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 r:link="rId20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974175"/>
          <a:ext cx="219075" cy="2095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252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L9" sqref="L9"/>
    </sheetView>
  </sheetViews>
  <sheetFormatPr defaultRowHeight="14.25" x14ac:dyDescent="0.2"/>
  <cols>
    <col min="1" max="1" width="3.625" customWidth="1"/>
    <col min="2" max="2" width="36.375" customWidth="1"/>
    <col min="3" max="3" width="10.625" style="1" customWidth="1"/>
    <col min="4" max="4" width="13.125" customWidth="1"/>
    <col min="6" max="7" width="7.375" customWidth="1"/>
    <col min="8" max="8" width="6.25" customWidth="1"/>
    <col min="9" max="9" width="6.875" customWidth="1"/>
    <col min="10" max="10" width="7.875" customWidth="1"/>
    <col min="11" max="11" width="6.625" customWidth="1"/>
    <col min="12" max="12" width="7.5" customWidth="1"/>
    <col min="13" max="13" width="7.625" customWidth="1"/>
    <col min="14" max="14" width="7" customWidth="1"/>
    <col min="16" max="16" width="6.5" customWidth="1"/>
    <col min="18" max="18" width="7.125" customWidth="1"/>
    <col min="19" max="19" width="11.75" customWidth="1"/>
    <col min="20" max="22" width="5.25" customWidth="1"/>
    <col min="24" max="24" width="15" customWidth="1"/>
    <col min="25" max="25" width="13" customWidth="1"/>
    <col min="26" max="26" width="9.625" customWidth="1"/>
    <col min="27" max="27" width="11.25" customWidth="1"/>
  </cols>
  <sheetData>
    <row r="1" spans="1:31" s="4" customFormat="1" ht="42" customHeight="1" x14ac:dyDescent="0.2">
      <c r="A1" s="4" t="s">
        <v>16</v>
      </c>
      <c r="B1" s="4" t="s">
        <v>0</v>
      </c>
      <c r="C1" s="4" t="s">
        <v>1462</v>
      </c>
      <c r="D1" s="4" t="s">
        <v>1463</v>
      </c>
      <c r="E1" s="4" t="s">
        <v>1464</v>
      </c>
      <c r="F1" s="4" t="s">
        <v>3</v>
      </c>
      <c r="G1" s="4" t="s">
        <v>1465</v>
      </c>
      <c r="H1" s="4" t="s">
        <v>1466</v>
      </c>
      <c r="I1" s="4" t="s">
        <v>1467</v>
      </c>
      <c r="J1" s="4" t="s">
        <v>1468</v>
      </c>
      <c r="K1" s="4" t="s">
        <v>8</v>
      </c>
      <c r="L1" s="4" t="s">
        <v>9</v>
      </c>
      <c r="M1" s="4" t="s">
        <v>10</v>
      </c>
      <c r="N1" s="4" t="s">
        <v>11</v>
      </c>
      <c r="O1" s="4" t="s">
        <v>1469</v>
      </c>
      <c r="P1" s="4" t="s">
        <v>12</v>
      </c>
      <c r="Q1" s="4" t="s">
        <v>1470</v>
      </c>
      <c r="R1" s="18" t="s">
        <v>1471</v>
      </c>
      <c r="S1" s="19" t="s">
        <v>1472</v>
      </c>
      <c r="T1" s="18" t="s">
        <v>1473</v>
      </c>
      <c r="U1" s="18" t="s">
        <v>1474</v>
      </c>
      <c r="V1" s="18" t="s">
        <v>1475</v>
      </c>
      <c r="W1" s="4" t="s">
        <v>14</v>
      </c>
      <c r="X1" s="4" t="s">
        <v>15</v>
      </c>
      <c r="Y1" s="4" t="s">
        <v>16</v>
      </c>
      <c r="Z1" s="20" t="s">
        <v>875</v>
      </c>
      <c r="AA1" s="4" t="s">
        <v>167</v>
      </c>
      <c r="AB1" s="4" t="s">
        <v>168</v>
      </c>
      <c r="AC1" s="4" t="s">
        <v>848</v>
      </c>
      <c r="AD1" s="4" t="s">
        <v>467</v>
      </c>
      <c r="AE1" s="4" t="s">
        <v>468</v>
      </c>
    </row>
    <row r="2" spans="1:31" ht="23.25" customHeight="1" x14ac:dyDescent="0.2">
      <c r="A2" s="22" t="s">
        <v>861</v>
      </c>
      <c r="B2" s="1" t="s">
        <v>861</v>
      </c>
      <c r="C2" s="1" t="s">
        <v>1483</v>
      </c>
      <c r="D2" s="1" t="s">
        <v>1477</v>
      </c>
      <c r="E2" s="1">
        <v>13</v>
      </c>
      <c r="F2" s="1">
        <v>6</v>
      </c>
      <c r="G2" s="1">
        <v>15</v>
      </c>
      <c r="H2" s="1">
        <v>6</v>
      </c>
      <c r="I2" s="1">
        <v>2.14</v>
      </c>
      <c r="J2" s="1">
        <v>1.73</v>
      </c>
      <c r="K2" s="1">
        <v>65</v>
      </c>
      <c r="L2" s="1">
        <v>0</v>
      </c>
      <c r="M2" s="1">
        <v>35</v>
      </c>
      <c r="N2" s="1">
        <v>0</v>
      </c>
      <c r="O2" s="1" t="s">
        <v>18</v>
      </c>
      <c r="P2" s="1">
        <v>200</v>
      </c>
      <c r="Q2" s="1" t="s">
        <v>64</v>
      </c>
      <c r="R2" s="1">
        <v>125</v>
      </c>
      <c r="S2" s="1">
        <v>0.16</v>
      </c>
      <c r="T2" s="1">
        <v>1</v>
      </c>
      <c r="U2" s="1">
        <v>0.55000000000000004</v>
      </c>
      <c r="V2" s="1">
        <v>0.25</v>
      </c>
      <c r="W2" s="1"/>
      <c r="X2" s="1"/>
      <c r="Y2" s="1"/>
      <c r="Z2" s="3">
        <f>_xlfn.IFNA(VLOOKUP(D2,附件!$B$19:$C$21,2,FALSE)+附件!$C$23,0)+S2+J2*((200/(附件!$C$25+100))^0.5)</f>
        <v>1.89</v>
      </c>
      <c r="AA2" s="3">
        <f>G2*H2/Z2*R2/100</f>
        <v>59.523809523809526</v>
      </c>
      <c r="AB2">
        <f>G2*H2*R2/100</f>
        <v>112.5</v>
      </c>
      <c r="AC2">
        <f>$AA2*T2</f>
        <v>59.523809523809526</v>
      </c>
      <c r="AD2">
        <f>$AA2*U2</f>
        <v>32.738095238095241</v>
      </c>
      <c r="AE2">
        <f>$AA2*V2</f>
        <v>14.880952380952381</v>
      </c>
    </row>
    <row r="3" spans="1:31" ht="23.25" customHeight="1" x14ac:dyDescent="0.2">
      <c r="A3" s="22" t="s">
        <v>1493</v>
      </c>
      <c r="B3" s="1" t="s">
        <v>1493</v>
      </c>
      <c r="C3" s="1" t="s">
        <v>1483</v>
      </c>
      <c r="D3" s="1" t="s">
        <v>1477</v>
      </c>
      <c r="E3" s="1">
        <v>13</v>
      </c>
      <c r="F3" s="1">
        <v>4</v>
      </c>
      <c r="G3" s="1">
        <v>13</v>
      </c>
      <c r="H3" s="1">
        <v>4</v>
      </c>
      <c r="I3" s="1">
        <v>1.25</v>
      </c>
      <c r="J3" s="1">
        <v>1.01</v>
      </c>
      <c r="K3" s="1">
        <v>50</v>
      </c>
      <c r="L3" s="1">
        <v>0</v>
      </c>
      <c r="M3" s="1">
        <v>25</v>
      </c>
      <c r="N3" s="1">
        <v>20</v>
      </c>
      <c r="O3" s="1" t="s">
        <v>18</v>
      </c>
      <c r="P3" s="1">
        <v>360</v>
      </c>
      <c r="Q3" s="1" t="s">
        <v>64</v>
      </c>
      <c r="R3" s="1">
        <v>125</v>
      </c>
      <c r="S3" s="1">
        <v>0.1</v>
      </c>
      <c r="T3" s="1">
        <v>1</v>
      </c>
      <c r="U3" s="1">
        <v>0.5</v>
      </c>
      <c r="V3" s="1">
        <v>0.2</v>
      </c>
      <c r="W3" s="1"/>
      <c r="X3" s="1"/>
      <c r="Y3" s="1"/>
      <c r="Z3" s="3">
        <f>_xlfn.IFNA(VLOOKUP(D3,附件!$B$19:$C$21,2,FALSE)+附件!$C$23,0)+S3+J3*((200/(附件!$C$25+100))^0.5)</f>
        <v>1.1100000000000001</v>
      </c>
      <c r="AA3" s="3">
        <f>G3*H3/Z3*R3/100</f>
        <v>58.558558558558552</v>
      </c>
      <c r="AB3">
        <f>G3*H3*R3/100</f>
        <v>65</v>
      </c>
      <c r="AC3">
        <f>$AA3*T3</f>
        <v>58.558558558558552</v>
      </c>
      <c r="AD3">
        <f>$AA3*U3</f>
        <v>29.279279279279276</v>
      </c>
      <c r="AE3">
        <f>$AA3*V3</f>
        <v>11.711711711711711</v>
      </c>
    </row>
    <row r="4" spans="1:31" ht="23.25" customHeight="1" x14ac:dyDescent="0.2">
      <c r="A4" s="22" t="s">
        <v>36</v>
      </c>
      <c r="B4" s="1" t="s">
        <v>36</v>
      </c>
      <c r="C4" s="1" t="s">
        <v>1483</v>
      </c>
      <c r="D4" s="1" t="s">
        <v>1477</v>
      </c>
      <c r="E4" s="1">
        <v>13</v>
      </c>
      <c r="F4" s="1">
        <v>5</v>
      </c>
      <c r="G4" s="1">
        <v>15</v>
      </c>
      <c r="H4" s="1">
        <v>5</v>
      </c>
      <c r="I4" s="1">
        <v>2</v>
      </c>
      <c r="J4" s="1">
        <v>1.6</v>
      </c>
      <c r="K4" s="1">
        <v>50</v>
      </c>
      <c r="L4" s="1">
        <v>15</v>
      </c>
      <c r="M4" s="1">
        <v>35</v>
      </c>
      <c r="N4" s="1">
        <v>0</v>
      </c>
      <c r="O4" s="1" t="s">
        <v>18</v>
      </c>
      <c r="P4" s="1">
        <v>360</v>
      </c>
      <c r="Q4" s="1" t="s">
        <v>19</v>
      </c>
      <c r="R4" s="1">
        <v>110</v>
      </c>
      <c r="S4" s="1">
        <v>0.2</v>
      </c>
      <c r="T4" s="1">
        <v>1.2</v>
      </c>
      <c r="U4" s="1">
        <v>0.6</v>
      </c>
      <c r="V4" s="1">
        <v>0.6</v>
      </c>
      <c r="W4" s="1"/>
      <c r="X4" s="1"/>
      <c r="Y4" s="1"/>
      <c r="Z4" s="3">
        <f>_xlfn.IFNA(VLOOKUP(D4,附件!$B$19:$C$21,2,FALSE)+附件!$C$23,0)+S4+J4*((200/(附件!$C$25+100))^0.5)</f>
        <v>1.8</v>
      </c>
      <c r="AA4" s="3">
        <f>G4*H4/Z4*R4/100</f>
        <v>45.833333333333329</v>
      </c>
      <c r="AB4">
        <f>G4*H4*R4/100</f>
        <v>82.5</v>
      </c>
      <c r="AC4">
        <f>$AA4*T4</f>
        <v>54.999999999999993</v>
      </c>
      <c r="AD4">
        <f>$AA4*U4</f>
        <v>27.499999999999996</v>
      </c>
      <c r="AE4">
        <f>$AA4*V4</f>
        <v>27.499999999999996</v>
      </c>
    </row>
    <row r="5" spans="1:31" ht="23.25" customHeight="1" x14ac:dyDescent="0.2">
      <c r="A5" s="22" t="s">
        <v>1482</v>
      </c>
      <c r="B5" s="1" t="s">
        <v>1482</v>
      </c>
      <c r="C5" s="1" t="s">
        <v>1483</v>
      </c>
      <c r="D5" s="1" t="s">
        <v>1477</v>
      </c>
      <c r="E5" s="1">
        <v>13</v>
      </c>
      <c r="F5" s="1">
        <v>6</v>
      </c>
      <c r="G5" s="1">
        <v>17</v>
      </c>
      <c r="H5" s="1">
        <v>4</v>
      </c>
      <c r="I5" s="1">
        <v>1.73</v>
      </c>
      <c r="J5" s="1">
        <v>1.46</v>
      </c>
      <c r="K5" s="1">
        <v>50</v>
      </c>
      <c r="L5" s="1">
        <v>0</v>
      </c>
      <c r="M5" s="1">
        <v>20</v>
      </c>
      <c r="N5" s="1">
        <v>25</v>
      </c>
      <c r="O5" s="1" t="s">
        <v>18</v>
      </c>
      <c r="P5" s="1">
        <v>360</v>
      </c>
      <c r="Q5" s="1" t="s">
        <v>64</v>
      </c>
      <c r="R5" s="1">
        <v>125</v>
      </c>
      <c r="S5" s="1">
        <v>0.1</v>
      </c>
      <c r="T5" s="1">
        <v>1</v>
      </c>
      <c r="U5" s="1">
        <v>0.5</v>
      </c>
      <c r="V5" s="1">
        <v>0.2</v>
      </c>
      <c r="W5" s="1"/>
      <c r="X5" s="1"/>
      <c r="Y5" s="1"/>
      <c r="Z5" s="3">
        <f>_xlfn.IFNA(VLOOKUP(D5,附件!$B$19:$C$21,2,FALSE)+附件!$C$23,0)+S5+J5*((200/(附件!$C$25+100))^0.5)</f>
        <v>1.56</v>
      </c>
      <c r="AA5" s="3">
        <f>G5*H5/Z5*R5/100</f>
        <v>54.487179487179489</v>
      </c>
      <c r="AB5">
        <f>G5*H5*R5/100</f>
        <v>85</v>
      </c>
      <c r="AC5">
        <f>$AA5*T5</f>
        <v>54.487179487179489</v>
      </c>
      <c r="AD5">
        <f>$AA5*U5</f>
        <v>27.243589743589745</v>
      </c>
      <c r="AE5">
        <f>$AA5*V5</f>
        <v>10.897435897435898</v>
      </c>
    </row>
    <row r="6" spans="1:31" ht="23.25" customHeight="1" x14ac:dyDescent="0.2">
      <c r="A6" s="22" t="s">
        <v>1319</v>
      </c>
      <c r="B6" s="1" t="s">
        <v>1319</v>
      </c>
      <c r="C6" s="1" t="s">
        <v>1481</v>
      </c>
      <c r="D6" s="1" t="s">
        <v>1477</v>
      </c>
      <c r="E6" s="1">
        <v>11</v>
      </c>
      <c r="F6" s="1">
        <v>6</v>
      </c>
      <c r="G6" s="1">
        <v>17</v>
      </c>
      <c r="H6" s="1">
        <v>3</v>
      </c>
      <c r="I6" s="1">
        <v>1.6</v>
      </c>
      <c r="J6" s="1">
        <v>1.2</v>
      </c>
      <c r="K6" s="1">
        <v>50</v>
      </c>
      <c r="L6" s="1">
        <v>22</v>
      </c>
      <c r="M6" s="1">
        <v>25</v>
      </c>
      <c r="N6" s="1">
        <v>0</v>
      </c>
      <c r="O6" s="1" t="s">
        <v>18</v>
      </c>
      <c r="P6" s="1">
        <v>360</v>
      </c>
      <c r="Q6" s="1" t="s">
        <v>19</v>
      </c>
      <c r="R6" s="1">
        <v>125</v>
      </c>
      <c r="S6" s="1">
        <v>0.24</v>
      </c>
      <c r="T6" s="1">
        <v>1.2</v>
      </c>
      <c r="U6" s="1">
        <v>0.6</v>
      </c>
      <c r="V6" s="1">
        <v>0.6</v>
      </c>
      <c r="W6" s="1"/>
      <c r="X6" s="1"/>
      <c r="Y6" s="1"/>
      <c r="Z6" s="3">
        <f>_xlfn.IFNA(VLOOKUP(D6,附件!$B$19:$C$21,2,FALSE)+附件!$C$23,0)+S6+J6*((200/(附件!$C$25+100))^0.5)</f>
        <v>1.44</v>
      </c>
      <c r="AA6" s="3">
        <f>G6*H6/Z6*R6/100</f>
        <v>44.270833333333343</v>
      </c>
      <c r="AB6">
        <f>G6*H6*R6/100</f>
        <v>63.75</v>
      </c>
      <c r="AC6">
        <f>$AA6*T6</f>
        <v>53.125000000000007</v>
      </c>
      <c r="AD6">
        <f>$AA6*U6</f>
        <v>26.562500000000004</v>
      </c>
      <c r="AE6">
        <f>$AA6*V6</f>
        <v>26.562500000000004</v>
      </c>
    </row>
    <row r="7" spans="1:31" ht="23.25" customHeight="1" x14ac:dyDescent="0.2">
      <c r="A7" s="22" t="s">
        <v>1539</v>
      </c>
      <c r="B7" s="1" t="s">
        <v>1539</v>
      </c>
      <c r="C7" s="1" t="s">
        <v>1481</v>
      </c>
      <c r="D7" s="1" t="s">
        <v>1477</v>
      </c>
      <c r="E7" s="1">
        <v>11</v>
      </c>
      <c r="F7" s="1">
        <v>4</v>
      </c>
      <c r="G7" s="1">
        <v>15</v>
      </c>
      <c r="H7" s="1">
        <v>4</v>
      </c>
      <c r="I7" s="1">
        <v>2.33</v>
      </c>
      <c r="J7" s="1">
        <v>1.73</v>
      </c>
      <c r="K7" s="1">
        <v>50</v>
      </c>
      <c r="L7" s="1">
        <v>30</v>
      </c>
      <c r="M7" s="1">
        <v>25</v>
      </c>
      <c r="N7" s="1">
        <v>0</v>
      </c>
      <c r="O7" s="1" t="s">
        <v>18</v>
      </c>
      <c r="P7" s="1">
        <v>360</v>
      </c>
      <c r="Q7" s="1" t="s">
        <v>19</v>
      </c>
      <c r="R7" s="1">
        <v>125</v>
      </c>
      <c r="S7" s="1">
        <v>0</v>
      </c>
      <c r="T7" s="1">
        <v>1.2</v>
      </c>
      <c r="U7" s="1">
        <v>0.6</v>
      </c>
      <c r="V7" s="1">
        <v>0.6</v>
      </c>
      <c r="W7" s="1"/>
      <c r="X7" s="1"/>
      <c r="Y7" s="1"/>
      <c r="Z7" s="3">
        <f>_xlfn.IFNA(VLOOKUP(D7,附件!$B$19:$C$21,2,FALSE)+附件!$C$23,0)+S7+J7*((200/(附件!$C$25+100))^0.5)</f>
        <v>1.73</v>
      </c>
      <c r="AA7" s="3">
        <f>G7*H7/Z7*R7/100</f>
        <v>43.352601156069369</v>
      </c>
      <c r="AB7">
        <f>G7*H7*R7/100</f>
        <v>75</v>
      </c>
      <c r="AC7">
        <f>$AA7*T7</f>
        <v>52.02312138728324</v>
      </c>
      <c r="AD7">
        <f>$AA7*U7</f>
        <v>26.01156069364162</v>
      </c>
      <c r="AE7">
        <f>$AA7*V7</f>
        <v>26.01156069364162</v>
      </c>
    </row>
    <row r="8" spans="1:31" ht="23.25" customHeight="1" x14ac:dyDescent="0.2">
      <c r="A8" s="22" t="s">
        <v>1356</v>
      </c>
      <c r="B8" s="1" t="s">
        <v>1356</v>
      </c>
      <c r="C8" s="1" t="s">
        <v>1510</v>
      </c>
      <c r="D8" s="1" t="s">
        <v>1491</v>
      </c>
      <c r="E8" s="1">
        <v>13</v>
      </c>
      <c r="F8" s="1">
        <v>35</v>
      </c>
      <c r="G8" s="1">
        <v>54</v>
      </c>
      <c r="H8" s="1">
        <v>6</v>
      </c>
      <c r="I8" s="1">
        <v>10.51</v>
      </c>
      <c r="J8" s="1">
        <v>7.85</v>
      </c>
      <c r="K8" s="1">
        <v>55</v>
      </c>
      <c r="L8" s="1">
        <v>22</v>
      </c>
      <c r="M8" s="1">
        <v>65</v>
      </c>
      <c r="N8" s="1">
        <v>0</v>
      </c>
      <c r="O8" s="1" t="s">
        <v>18</v>
      </c>
      <c r="P8" s="1">
        <v>38</v>
      </c>
      <c r="Q8" s="1" t="s">
        <v>64</v>
      </c>
      <c r="R8" s="1">
        <v>115</v>
      </c>
      <c r="S8" s="1">
        <v>0.6</v>
      </c>
      <c r="T8" s="1">
        <v>1.1499999999999999</v>
      </c>
      <c r="U8" s="1">
        <v>1.1499999999999999</v>
      </c>
      <c r="V8" s="1">
        <v>0.95</v>
      </c>
      <c r="W8" s="1"/>
      <c r="X8" s="1"/>
      <c r="Y8" s="1"/>
      <c r="Z8" s="3">
        <f>_xlfn.IFNA(VLOOKUP(D8,附件!$B$19:$C$21,2,FALSE)+附件!$C$23,0)+S8+J8*((200/(附件!$C$25+100))^0.5)</f>
        <v>8.4499999999999993</v>
      </c>
      <c r="AA8" s="3">
        <f>G8*H8/Z8*R8/100</f>
        <v>44.094674556213022</v>
      </c>
      <c r="AB8">
        <f>G8*H8*R8/100</f>
        <v>372.6</v>
      </c>
      <c r="AC8">
        <f>$AA8*T8</f>
        <v>50.708875739644974</v>
      </c>
      <c r="AD8">
        <f>$AA8*U8</f>
        <v>50.708875739644974</v>
      </c>
      <c r="AE8">
        <f>$AA8*V8</f>
        <v>41.889940828402366</v>
      </c>
    </row>
    <row r="9" spans="1:31" ht="23.25" customHeight="1" x14ac:dyDescent="0.2">
      <c r="A9" s="22" t="s">
        <v>1312</v>
      </c>
      <c r="B9" s="1" t="s">
        <v>1312</v>
      </c>
      <c r="C9" s="1" t="s">
        <v>1481</v>
      </c>
      <c r="D9" s="1" t="s">
        <v>1477</v>
      </c>
      <c r="E9" s="1">
        <v>11</v>
      </c>
      <c r="F9" s="1">
        <v>9</v>
      </c>
      <c r="G9" s="1">
        <v>19</v>
      </c>
      <c r="H9" s="1">
        <v>4</v>
      </c>
      <c r="I9" s="1">
        <v>1.92</v>
      </c>
      <c r="J9" s="1">
        <v>1.52</v>
      </c>
      <c r="K9" s="1">
        <v>50</v>
      </c>
      <c r="L9" s="1">
        <v>15</v>
      </c>
      <c r="M9" s="1">
        <v>25</v>
      </c>
      <c r="N9" s="1">
        <v>0</v>
      </c>
      <c r="O9" s="1" t="s">
        <v>18</v>
      </c>
      <c r="P9" s="1">
        <v>360</v>
      </c>
      <c r="Q9" s="1" t="s">
        <v>64</v>
      </c>
      <c r="R9" s="1">
        <v>110</v>
      </c>
      <c r="S9" s="1">
        <v>0.15</v>
      </c>
      <c r="T9" s="1">
        <v>1</v>
      </c>
      <c r="U9" s="1">
        <v>0.5</v>
      </c>
      <c r="V9" s="1">
        <v>0.2</v>
      </c>
      <c r="W9" s="1"/>
      <c r="X9" s="1"/>
      <c r="Y9" s="1"/>
      <c r="Z9" s="3">
        <f>_xlfn.IFNA(VLOOKUP(D9,附件!$B$19:$C$21,2,FALSE)+附件!$C$23,0)+S9+J9*((200/(附件!$C$25+100))^0.5)</f>
        <v>1.67</v>
      </c>
      <c r="AA9" s="3">
        <f>G9*H9/Z9*R9/100</f>
        <v>50.059880239520965</v>
      </c>
      <c r="AB9">
        <f>G9*H9*R9/100</f>
        <v>83.6</v>
      </c>
      <c r="AC9">
        <f>$AA9*T9</f>
        <v>50.059880239520965</v>
      </c>
      <c r="AD9">
        <f>$AA9*U9</f>
        <v>25.029940119760482</v>
      </c>
      <c r="AE9">
        <f>$AA9*V9</f>
        <v>10.011976047904193</v>
      </c>
    </row>
    <row r="10" spans="1:31" ht="23.25" customHeight="1" x14ac:dyDescent="0.2">
      <c r="A10" s="22" t="s">
        <v>1325</v>
      </c>
      <c r="B10" s="1" t="s">
        <v>1325</v>
      </c>
      <c r="C10" s="1" t="s">
        <v>1483</v>
      </c>
      <c r="D10" s="1" t="s">
        <v>1477</v>
      </c>
      <c r="E10" s="1">
        <v>13</v>
      </c>
      <c r="F10" s="1">
        <v>4</v>
      </c>
      <c r="G10" s="1">
        <v>12</v>
      </c>
      <c r="H10" s="1">
        <v>4</v>
      </c>
      <c r="I10" s="1">
        <v>1.2</v>
      </c>
      <c r="J10" s="1">
        <v>0.96</v>
      </c>
      <c r="K10" s="1">
        <v>50</v>
      </c>
      <c r="L10" s="1">
        <v>0</v>
      </c>
      <c r="M10" s="1">
        <v>15</v>
      </c>
      <c r="N10" s="1">
        <v>30</v>
      </c>
      <c r="O10" s="1" t="s">
        <v>18</v>
      </c>
      <c r="P10" s="1">
        <v>360</v>
      </c>
      <c r="Q10" s="1" t="s">
        <v>64</v>
      </c>
      <c r="R10" s="1">
        <v>110</v>
      </c>
      <c r="S10" s="1">
        <v>0.1</v>
      </c>
      <c r="T10" s="1">
        <v>1</v>
      </c>
      <c r="U10" s="1">
        <v>0.5</v>
      </c>
      <c r="V10" s="1">
        <v>0.2</v>
      </c>
      <c r="W10" s="1"/>
      <c r="X10" s="1"/>
      <c r="Y10" s="1"/>
      <c r="Z10" s="3">
        <f>_xlfn.IFNA(VLOOKUP(D10,附件!$B$19:$C$21,2,FALSE)+附件!$C$23,0)+S10+J10*((200/(附件!$C$25+100))^0.5)</f>
        <v>1.06</v>
      </c>
      <c r="AA10" s="3">
        <f>G10*H10/Z10*R10/100</f>
        <v>49.811320754716981</v>
      </c>
      <c r="AB10">
        <f>G10*H10*R10/100</f>
        <v>52.8</v>
      </c>
      <c r="AC10">
        <f>$AA10*T10</f>
        <v>49.811320754716981</v>
      </c>
      <c r="AD10">
        <f>$AA10*U10</f>
        <v>24.90566037735849</v>
      </c>
      <c r="AE10">
        <f>$AA10*V10</f>
        <v>9.9622641509433976</v>
      </c>
    </row>
    <row r="11" spans="1:31" ht="23.25" customHeight="1" x14ac:dyDescent="0.2">
      <c r="A11" s="22" t="s">
        <v>1322</v>
      </c>
      <c r="B11" s="1" t="s">
        <v>1322</v>
      </c>
      <c r="C11" s="1" t="s">
        <v>1481</v>
      </c>
      <c r="D11" s="1" t="s">
        <v>1477</v>
      </c>
      <c r="E11" s="1">
        <v>11</v>
      </c>
      <c r="F11" s="1">
        <v>4</v>
      </c>
      <c r="G11" s="1">
        <v>15</v>
      </c>
      <c r="H11" s="1">
        <v>3</v>
      </c>
      <c r="I11" s="1">
        <v>1.46</v>
      </c>
      <c r="J11" s="1">
        <v>1.06</v>
      </c>
      <c r="K11" s="1">
        <v>50</v>
      </c>
      <c r="L11" s="1">
        <v>25</v>
      </c>
      <c r="M11" s="1">
        <v>25</v>
      </c>
      <c r="N11" s="1">
        <v>0</v>
      </c>
      <c r="O11" s="1" t="s">
        <v>18</v>
      </c>
      <c r="P11" s="1">
        <v>360</v>
      </c>
      <c r="Q11" s="1" t="s">
        <v>19</v>
      </c>
      <c r="R11" s="1">
        <v>125</v>
      </c>
      <c r="S11" s="1">
        <v>0.3</v>
      </c>
      <c r="T11" s="1">
        <v>1.2</v>
      </c>
      <c r="U11" s="1">
        <v>0.6</v>
      </c>
      <c r="V11" s="1">
        <v>0.6</v>
      </c>
      <c r="W11" s="1"/>
      <c r="X11" s="1"/>
      <c r="Y11" s="1"/>
      <c r="Z11" s="3">
        <f>_xlfn.IFNA(VLOOKUP(D11,附件!$B$19:$C$21,2,FALSE)+附件!$C$23,0)+S11+J11*((200/(附件!$C$25+100))^0.5)</f>
        <v>1.36</v>
      </c>
      <c r="AA11" s="3">
        <f>G11*H11/Z11*R11/100</f>
        <v>41.360294117647051</v>
      </c>
      <c r="AB11">
        <f>G11*H11*R11/100</f>
        <v>56.25</v>
      </c>
      <c r="AC11">
        <f>$AA11*T11</f>
        <v>49.632352941176457</v>
      </c>
      <c r="AD11">
        <f>$AA11*U11</f>
        <v>24.816176470588228</v>
      </c>
      <c r="AE11">
        <f>$AA11*V11</f>
        <v>24.816176470588228</v>
      </c>
    </row>
    <row r="12" spans="1:31" ht="23.25" customHeight="1" x14ac:dyDescent="0.2">
      <c r="A12" s="22" t="s">
        <v>121</v>
      </c>
      <c r="B12" s="1" t="s">
        <v>121</v>
      </c>
      <c r="C12" s="1" t="s">
        <v>1481</v>
      </c>
      <c r="D12" s="1" t="s">
        <v>1477</v>
      </c>
      <c r="E12" s="1">
        <v>11</v>
      </c>
      <c r="F12" s="1">
        <v>4</v>
      </c>
      <c r="G12" s="1">
        <v>15</v>
      </c>
      <c r="H12" s="1">
        <v>4</v>
      </c>
      <c r="I12" s="1">
        <v>1.7</v>
      </c>
      <c r="J12" s="1">
        <v>1.44</v>
      </c>
      <c r="K12" s="1">
        <v>50</v>
      </c>
      <c r="L12" s="1">
        <v>0</v>
      </c>
      <c r="M12" s="1">
        <v>25</v>
      </c>
      <c r="N12" s="1">
        <v>0</v>
      </c>
      <c r="O12" s="1" t="s">
        <v>18</v>
      </c>
      <c r="P12" s="1">
        <v>360</v>
      </c>
      <c r="Q12" s="1" t="s">
        <v>64</v>
      </c>
      <c r="R12" s="1">
        <v>125</v>
      </c>
      <c r="S12" s="1">
        <v>0.1</v>
      </c>
      <c r="T12" s="1">
        <v>1</v>
      </c>
      <c r="U12" s="1">
        <v>0.5</v>
      </c>
      <c r="V12" s="1">
        <v>0.2</v>
      </c>
      <c r="W12" s="1"/>
      <c r="X12" s="1"/>
      <c r="Y12" s="1"/>
      <c r="Z12" s="3">
        <f>_xlfn.IFNA(VLOOKUP(D12,附件!$B$19:$C$21,2,FALSE)+附件!$C$23,0)+S12+J12*((200/(附件!$C$25+100))^0.5)</f>
        <v>1.54</v>
      </c>
      <c r="AA12" s="3">
        <f>G12*H12/Z12*R12/100</f>
        <v>48.701298701298704</v>
      </c>
      <c r="AB12">
        <f>G12*H12*R12/100</f>
        <v>75</v>
      </c>
      <c r="AC12">
        <f>$AA12*T12</f>
        <v>48.701298701298704</v>
      </c>
      <c r="AD12">
        <f>$AA12*U12</f>
        <v>24.350649350649352</v>
      </c>
      <c r="AE12">
        <f>$AA12*V12</f>
        <v>9.7402597402597415</v>
      </c>
    </row>
    <row r="13" spans="1:31" ht="23.25" customHeight="1" x14ac:dyDescent="0.2">
      <c r="A13" s="22" t="s">
        <v>1519</v>
      </c>
      <c r="B13" s="1" t="s">
        <v>1519</v>
      </c>
      <c r="C13" s="1" t="s">
        <v>1483</v>
      </c>
      <c r="D13" s="1" t="s">
        <v>1477</v>
      </c>
      <c r="E13" s="1">
        <v>13</v>
      </c>
      <c r="F13" s="1">
        <v>4</v>
      </c>
      <c r="G13" s="1">
        <v>15</v>
      </c>
      <c r="H13" s="1">
        <v>4</v>
      </c>
      <c r="I13" s="1">
        <v>1.86</v>
      </c>
      <c r="J13" s="1">
        <v>1.53</v>
      </c>
      <c r="K13" s="1">
        <v>50</v>
      </c>
      <c r="L13" s="1">
        <v>0</v>
      </c>
      <c r="M13" s="1">
        <v>20</v>
      </c>
      <c r="N13" s="1">
        <v>25</v>
      </c>
      <c r="O13" s="1" t="s">
        <v>18</v>
      </c>
      <c r="P13" s="1">
        <v>360</v>
      </c>
      <c r="Q13" s="1" t="s">
        <v>19</v>
      </c>
      <c r="R13" s="1">
        <v>110</v>
      </c>
      <c r="S13" s="1">
        <v>0.1</v>
      </c>
      <c r="T13" s="1">
        <v>1.2</v>
      </c>
      <c r="U13" s="1">
        <v>0.6</v>
      </c>
      <c r="V13" s="1">
        <v>0.6</v>
      </c>
      <c r="W13" s="1"/>
      <c r="X13" s="1"/>
      <c r="Y13" s="1"/>
      <c r="Z13" s="3">
        <f>_xlfn.IFNA(VLOOKUP(D13,附件!$B$19:$C$21,2,FALSE)+附件!$C$23,0)+S13+J13*((200/(附件!$C$25+100))^0.5)</f>
        <v>1.6300000000000001</v>
      </c>
      <c r="AA13" s="3">
        <f>G13*H13/Z13*R13/100</f>
        <v>40.490797546012274</v>
      </c>
      <c r="AB13">
        <f>G13*H13*R13/100</f>
        <v>66</v>
      </c>
      <c r="AC13">
        <f>$AA13*T13</f>
        <v>48.588957055214728</v>
      </c>
      <c r="AD13">
        <f>$AA13*U13</f>
        <v>24.294478527607364</v>
      </c>
      <c r="AE13">
        <f>$AA13*V13</f>
        <v>24.294478527607364</v>
      </c>
    </row>
    <row r="14" spans="1:31" ht="23.25" customHeight="1" x14ac:dyDescent="0.2">
      <c r="A14" s="22" t="s">
        <v>35</v>
      </c>
      <c r="B14" s="1" t="s">
        <v>35</v>
      </c>
      <c r="C14" s="1" t="s">
        <v>1481</v>
      </c>
      <c r="D14" s="1" t="s">
        <v>1477</v>
      </c>
      <c r="E14" s="1">
        <v>10</v>
      </c>
      <c r="F14" s="1">
        <v>4</v>
      </c>
      <c r="G14" s="1">
        <v>14</v>
      </c>
      <c r="H14" s="1">
        <v>5</v>
      </c>
      <c r="I14" s="1">
        <v>2.13</v>
      </c>
      <c r="J14" s="1">
        <v>1.73</v>
      </c>
      <c r="K14" s="1">
        <v>50</v>
      </c>
      <c r="L14" s="1">
        <v>15</v>
      </c>
      <c r="M14" s="1">
        <v>25</v>
      </c>
      <c r="N14" s="1">
        <v>0</v>
      </c>
      <c r="O14" s="1" t="s">
        <v>18</v>
      </c>
      <c r="P14" s="1">
        <v>360</v>
      </c>
      <c r="Q14" s="1" t="s">
        <v>19</v>
      </c>
      <c r="R14" s="1">
        <v>110</v>
      </c>
      <c r="S14" s="1">
        <v>0.2</v>
      </c>
      <c r="T14" s="1">
        <v>1.2</v>
      </c>
      <c r="U14" s="1">
        <v>0.6</v>
      </c>
      <c r="V14" s="1">
        <v>0.6</v>
      </c>
      <c r="W14" s="1"/>
      <c r="X14" s="1"/>
      <c r="Y14" s="1"/>
      <c r="Z14" s="3">
        <f>_xlfn.IFNA(VLOOKUP(D14,附件!$B$19:$C$21,2,FALSE)+附件!$C$23,0)+S14+J14*((200/(附件!$C$25+100))^0.5)</f>
        <v>1.93</v>
      </c>
      <c r="AA14" s="3">
        <f>G14*H14/Z14*R14/100</f>
        <v>39.896373056994818</v>
      </c>
      <c r="AB14">
        <f>G14*H14*R14/100</f>
        <v>77</v>
      </c>
      <c r="AC14">
        <f>$AA14*T14</f>
        <v>47.875647668393782</v>
      </c>
      <c r="AD14">
        <f>$AA14*U14</f>
        <v>23.937823834196891</v>
      </c>
      <c r="AE14">
        <f>$AA14*V14</f>
        <v>23.937823834196891</v>
      </c>
    </row>
    <row r="15" spans="1:31" ht="23.25" customHeight="1" x14ac:dyDescent="0.2">
      <c r="A15" s="22" t="s">
        <v>1533</v>
      </c>
      <c r="B15" s="1" t="s">
        <v>1533</v>
      </c>
      <c r="C15" s="1" t="s">
        <v>1481</v>
      </c>
      <c r="D15" s="1" t="s">
        <v>1477</v>
      </c>
      <c r="E15" s="1">
        <v>11</v>
      </c>
      <c r="F15" s="1">
        <v>4</v>
      </c>
      <c r="G15" s="1">
        <v>14</v>
      </c>
      <c r="H15" s="1">
        <v>4</v>
      </c>
      <c r="I15" s="1">
        <v>1.78</v>
      </c>
      <c r="J15" s="1">
        <v>1.45</v>
      </c>
      <c r="K15" s="1">
        <v>50</v>
      </c>
      <c r="L15" s="1">
        <v>0</v>
      </c>
      <c r="M15" s="1">
        <v>25</v>
      </c>
      <c r="N15" s="1">
        <v>0</v>
      </c>
      <c r="O15" s="1" t="s">
        <v>18</v>
      </c>
      <c r="P15" s="1">
        <v>360</v>
      </c>
      <c r="Q15" s="1" t="s">
        <v>19</v>
      </c>
      <c r="R15" s="1">
        <v>110</v>
      </c>
      <c r="S15" s="1">
        <v>0.1</v>
      </c>
      <c r="T15" s="1">
        <v>1.2</v>
      </c>
      <c r="U15" s="1">
        <v>0.6</v>
      </c>
      <c r="V15" s="1">
        <v>0.6</v>
      </c>
      <c r="W15" s="1"/>
      <c r="X15" s="1"/>
      <c r="Y15" s="1"/>
      <c r="Z15" s="3">
        <f>_xlfn.IFNA(VLOOKUP(D15,附件!$B$19:$C$21,2,FALSE)+附件!$C$23,0)+S15+J15*((200/(附件!$C$25+100))^0.5)</f>
        <v>1.55</v>
      </c>
      <c r="AA15" s="3">
        <f>G15*H15/Z15*R15/100</f>
        <v>39.741935483870968</v>
      </c>
      <c r="AB15">
        <f>G15*H15*R15/100</f>
        <v>61.6</v>
      </c>
      <c r="AC15">
        <f>$AA15*T15</f>
        <v>47.690322580645159</v>
      </c>
      <c r="AD15">
        <f>$AA15*U15</f>
        <v>23.845161290322579</v>
      </c>
      <c r="AE15">
        <f>$AA15*V15</f>
        <v>23.845161290322579</v>
      </c>
    </row>
    <row r="16" spans="1:31" ht="23.25" customHeight="1" x14ac:dyDescent="0.2">
      <c r="A16" s="22" t="s">
        <v>1315</v>
      </c>
      <c r="B16" s="1" t="s">
        <v>1315</v>
      </c>
      <c r="C16" s="1" t="s">
        <v>1481</v>
      </c>
      <c r="D16" s="1" t="s">
        <v>1477</v>
      </c>
      <c r="E16" s="1">
        <v>11</v>
      </c>
      <c r="F16" s="1">
        <v>6</v>
      </c>
      <c r="G16" s="1">
        <v>17</v>
      </c>
      <c r="H16" s="1">
        <v>4</v>
      </c>
      <c r="I16" s="1">
        <v>2.1</v>
      </c>
      <c r="J16" s="1">
        <v>1.59</v>
      </c>
      <c r="K16" s="1">
        <v>50</v>
      </c>
      <c r="L16" s="1">
        <v>0</v>
      </c>
      <c r="M16" s="1">
        <v>25</v>
      </c>
      <c r="N16" s="1">
        <v>0</v>
      </c>
      <c r="O16" s="1" t="s">
        <v>18</v>
      </c>
      <c r="P16" s="1">
        <v>360</v>
      </c>
      <c r="Q16" s="1" t="s">
        <v>64</v>
      </c>
      <c r="R16" s="1">
        <v>125</v>
      </c>
      <c r="S16" s="1">
        <v>0.2</v>
      </c>
      <c r="T16" s="1">
        <v>1</v>
      </c>
      <c r="U16" s="1">
        <v>0.5</v>
      </c>
      <c r="V16" s="1">
        <v>0.2</v>
      </c>
      <c r="W16" s="1"/>
      <c r="X16" s="1"/>
      <c r="Y16" s="1"/>
      <c r="Z16" s="3">
        <f>_xlfn.IFNA(VLOOKUP(D16,附件!$B$19:$C$21,2,FALSE)+附件!$C$23,0)+S16+J16*((200/(附件!$C$25+100))^0.5)</f>
        <v>1.79</v>
      </c>
      <c r="AA16" s="3">
        <f>G16*H16/Z16*R16/100</f>
        <v>47.486033519553068</v>
      </c>
      <c r="AB16">
        <f>G16*H16*R16/100</f>
        <v>85</v>
      </c>
      <c r="AC16">
        <f>$AA16*T16</f>
        <v>47.486033519553068</v>
      </c>
      <c r="AD16">
        <f>$AA16*U16</f>
        <v>23.743016759776534</v>
      </c>
      <c r="AE16">
        <f>$AA16*V16</f>
        <v>9.4972067039106136</v>
      </c>
    </row>
    <row r="17" spans="1:31" ht="23.25" customHeight="1" x14ac:dyDescent="0.2">
      <c r="A17" s="22" t="s">
        <v>162</v>
      </c>
      <c r="B17" s="1" t="s">
        <v>162</v>
      </c>
      <c r="C17" s="1" t="s">
        <v>1483</v>
      </c>
      <c r="D17" s="1" t="s">
        <v>1491</v>
      </c>
      <c r="E17" s="1">
        <v>13</v>
      </c>
      <c r="F17" s="1">
        <v>30</v>
      </c>
      <c r="G17" s="1">
        <v>52</v>
      </c>
      <c r="H17" s="1">
        <v>3</v>
      </c>
      <c r="I17" s="1">
        <v>8.0500000000000007</v>
      </c>
      <c r="J17" s="1">
        <v>5.39</v>
      </c>
      <c r="K17" s="1">
        <v>50</v>
      </c>
      <c r="L17" s="1">
        <v>10</v>
      </c>
      <c r="M17" s="1">
        <v>45</v>
      </c>
      <c r="N17" s="1">
        <v>0</v>
      </c>
      <c r="O17" s="1" t="s">
        <v>18</v>
      </c>
      <c r="P17" s="1">
        <v>38</v>
      </c>
      <c r="Q17" s="1" t="s">
        <v>19</v>
      </c>
      <c r="R17" s="1">
        <v>130</v>
      </c>
      <c r="S17" s="1">
        <v>0.4</v>
      </c>
      <c r="T17" s="1">
        <v>1.35</v>
      </c>
      <c r="U17" s="1">
        <v>0.95</v>
      </c>
      <c r="V17" s="1">
        <v>0.7</v>
      </c>
      <c r="W17" s="1"/>
      <c r="X17" s="1"/>
      <c r="Y17" s="1"/>
      <c r="Z17" s="3">
        <f>_xlfn.IFNA(VLOOKUP(D17,附件!$B$19:$C$21,2,FALSE)+附件!$C$23,0)+S17+J17*((200/(附件!$C$25+100))^0.5)</f>
        <v>5.79</v>
      </c>
      <c r="AA17" s="3">
        <f>G17*H17/Z17*R17/100</f>
        <v>35.025906735751299</v>
      </c>
      <c r="AB17">
        <f>G17*H17*R17/100</f>
        <v>202.8</v>
      </c>
      <c r="AC17">
        <f>$AA17*T17</f>
        <v>47.284974093264253</v>
      </c>
      <c r="AD17">
        <f>$AA17*U17</f>
        <v>33.274611398963735</v>
      </c>
      <c r="AE17">
        <f>$AA17*V17</f>
        <v>24.518134715025909</v>
      </c>
    </row>
    <row r="18" spans="1:31" ht="23.25" customHeight="1" x14ac:dyDescent="0.2">
      <c r="A18" s="22" t="s">
        <v>1551</v>
      </c>
      <c r="B18" s="1" t="s">
        <v>1551</v>
      </c>
      <c r="C18" s="1" t="s">
        <v>1483</v>
      </c>
      <c r="D18" s="1" t="s">
        <v>1491</v>
      </c>
      <c r="E18" s="1">
        <v>13</v>
      </c>
      <c r="F18" s="1">
        <v>28</v>
      </c>
      <c r="G18" s="1">
        <v>49</v>
      </c>
      <c r="H18" s="1">
        <v>6</v>
      </c>
      <c r="I18" s="1">
        <v>11.84</v>
      </c>
      <c r="J18" s="1">
        <v>7.91</v>
      </c>
      <c r="K18" s="1">
        <v>50</v>
      </c>
      <c r="L18" s="1">
        <v>22</v>
      </c>
      <c r="M18" s="1">
        <v>45</v>
      </c>
      <c r="N18" s="1">
        <v>0</v>
      </c>
      <c r="O18" s="1" t="s">
        <v>18</v>
      </c>
      <c r="P18" s="1">
        <v>38</v>
      </c>
      <c r="Q18" s="1" t="s">
        <v>19</v>
      </c>
      <c r="R18" s="1">
        <v>100</v>
      </c>
      <c r="S18" s="1">
        <v>0.5</v>
      </c>
      <c r="T18" s="1">
        <v>1.35</v>
      </c>
      <c r="U18" s="1">
        <v>0.95</v>
      </c>
      <c r="V18" s="1">
        <v>0.7</v>
      </c>
      <c r="W18" s="1"/>
      <c r="X18" s="1"/>
      <c r="Y18" s="1"/>
      <c r="Z18" s="3">
        <f>_xlfn.IFNA(VLOOKUP(D18,附件!$B$19:$C$21,2,FALSE)+附件!$C$23,0)+S18+J18*((200/(附件!$C$25+100))^0.5)</f>
        <v>8.41</v>
      </c>
      <c r="AA18" s="3">
        <f>G18*H18/Z18*R18/100</f>
        <v>34.958382877526752</v>
      </c>
      <c r="AB18">
        <f>G18*H18*R18/100</f>
        <v>294</v>
      </c>
      <c r="AC18">
        <f>$AA18*T18</f>
        <v>47.193816884661118</v>
      </c>
      <c r="AD18">
        <f>$AA18*U18</f>
        <v>33.210463733650414</v>
      </c>
      <c r="AE18">
        <f>$AA18*V18</f>
        <v>24.470868014268724</v>
      </c>
    </row>
    <row r="19" spans="1:31" ht="23.25" customHeight="1" x14ac:dyDescent="0.2">
      <c r="A19" s="22" t="s">
        <v>1320</v>
      </c>
      <c r="B19" s="1" t="s">
        <v>1320</v>
      </c>
      <c r="C19" s="1" t="s">
        <v>1483</v>
      </c>
      <c r="D19" s="1" t="s">
        <v>1491</v>
      </c>
      <c r="E19" s="1">
        <v>13</v>
      </c>
      <c r="F19" s="1">
        <v>31</v>
      </c>
      <c r="G19" s="1">
        <v>52</v>
      </c>
      <c r="H19" s="1">
        <v>4</v>
      </c>
      <c r="I19" s="1">
        <v>8.7899999999999991</v>
      </c>
      <c r="J19" s="1">
        <v>6.13</v>
      </c>
      <c r="K19" s="1">
        <v>55</v>
      </c>
      <c r="L19" s="1">
        <v>12</v>
      </c>
      <c r="M19" s="1">
        <v>45</v>
      </c>
      <c r="N19" s="1">
        <v>0</v>
      </c>
      <c r="O19" s="1" t="s">
        <v>18</v>
      </c>
      <c r="P19" s="1">
        <v>38</v>
      </c>
      <c r="Q19" s="1" t="s">
        <v>19</v>
      </c>
      <c r="R19" s="1">
        <v>110</v>
      </c>
      <c r="S19" s="1">
        <v>0.5</v>
      </c>
      <c r="T19" s="1">
        <v>1.35</v>
      </c>
      <c r="U19" s="1">
        <v>0.95</v>
      </c>
      <c r="V19" s="1">
        <v>0.7</v>
      </c>
      <c r="W19" s="1"/>
      <c r="X19" s="1"/>
      <c r="Y19" s="1"/>
      <c r="Z19" s="3">
        <f>_xlfn.IFNA(VLOOKUP(D19,附件!$B$19:$C$21,2,FALSE)+附件!$C$23,0)+S19+J19*((200/(附件!$C$25+100))^0.5)</f>
        <v>6.63</v>
      </c>
      <c r="AA19" s="3">
        <f>G19*H19/Z19*R19/100</f>
        <v>34.509803921568626</v>
      </c>
      <c r="AB19">
        <f>G19*H19*R19/100</f>
        <v>228.8</v>
      </c>
      <c r="AC19">
        <f>$AA19*T19</f>
        <v>46.588235294117645</v>
      </c>
      <c r="AD19">
        <f>$AA19*U19</f>
        <v>32.784313725490193</v>
      </c>
      <c r="AE19">
        <f>$AA19*V19</f>
        <v>24.156862745098035</v>
      </c>
    </row>
    <row r="20" spans="1:31" ht="23.25" customHeight="1" x14ac:dyDescent="0.2">
      <c r="A20" s="22" t="s">
        <v>163</v>
      </c>
      <c r="B20" s="1" t="s">
        <v>163</v>
      </c>
      <c r="C20" s="1" t="s">
        <v>1483</v>
      </c>
      <c r="D20" s="1" t="s">
        <v>1534</v>
      </c>
      <c r="E20" s="1">
        <v>13</v>
      </c>
      <c r="F20" s="1">
        <v>36</v>
      </c>
      <c r="G20" s="1">
        <v>56</v>
      </c>
      <c r="H20" s="1">
        <v>6</v>
      </c>
      <c r="I20" s="1">
        <v>13.06</v>
      </c>
      <c r="J20" s="1">
        <v>10.71</v>
      </c>
      <c r="K20" s="1">
        <v>70</v>
      </c>
      <c r="L20" s="1">
        <v>25</v>
      </c>
      <c r="M20" s="1">
        <v>45</v>
      </c>
      <c r="N20" s="1">
        <v>0</v>
      </c>
      <c r="O20" s="1" t="s">
        <v>53</v>
      </c>
      <c r="P20" s="1">
        <v>40</v>
      </c>
      <c r="Q20" s="1" t="s">
        <v>19</v>
      </c>
      <c r="R20" s="1">
        <v>110</v>
      </c>
      <c r="S20" s="1">
        <v>0.5</v>
      </c>
      <c r="T20" s="1">
        <v>1.35</v>
      </c>
      <c r="U20" s="1">
        <v>1</v>
      </c>
      <c r="V20" s="1">
        <v>0.75</v>
      </c>
      <c r="W20" s="1"/>
      <c r="X20" s="1"/>
      <c r="Y20" s="1"/>
      <c r="Z20" s="3">
        <f>_xlfn.IFNA(VLOOKUP(D20,附件!$B$19:$C$21,2,FALSE)+附件!$C$23,0)+S20+J20*((200/(附件!$C$25+100))^0.5)</f>
        <v>11.21</v>
      </c>
      <c r="AA20" s="3">
        <f>G20*H20/Z20*R20/100</f>
        <v>32.970561998215878</v>
      </c>
      <c r="AB20">
        <f>G20*H20*R20/100</f>
        <v>369.6</v>
      </c>
      <c r="AC20">
        <f>$AA20*T20</f>
        <v>44.510258697591439</v>
      </c>
      <c r="AD20">
        <f>$AA20*U20</f>
        <v>32.970561998215878</v>
      </c>
      <c r="AE20">
        <f>$AA20*V20</f>
        <v>24.727921498661907</v>
      </c>
    </row>
    <row r="21" spans="1:31" ht="23.25" customHeight="1" x14ac:dyDescent="0.2">
      <c r="A21" s="22" t="s">
        <v>155</v>
      </c>
      <c r="B21" s="1" t="s">
        <v>155</v>
      </c>
      <c r="C21" s="1" t="s">
        <v>1483</v>
      </c>
      <c r="D21" s="1" t="s">
        <v>1491</v>
      </c>
      <c r="E21" s="1">
        <v>13</v>
      </c>
      <c r="F21" s="1">
        <v>28</v>
      </c>
      <c r="G21" s="1">
        <v>48</v>
      </c>
      <c r="H21" s="1">
        <v>4</v>
      </c>
      <c r="I21" s="1">
        <v>8.58</v>
      </c>
      <c r="J21" s="1">
        <v>5.92</v>
      </c>
      <c r="K21" s="1">
        <v>50</v>
      </c>
      <c r="L21" s="1">
        <v>12</v>
      </c>
      <c r="M21" s="1">
        <v>45</v>
      </c>
      <c r="N21" s="1">
        <v>0</v>
      </c>
      <c r="O21" s="1" t="s">
        <v>18</v>
      </c>
      <c r="P21" s="1">
        <v>40</v>
      </c>
      <c r="Q21" s="1" t="s">
        <v>19</v>
      </c>
      <c r="R21" s="1">
        <v>110</v>
      </c>
      <c r="S21" s="1">
        <v>0.5</v>
      </c>
      <c r="T21" s="1">
        <v>1.35</v>
      </c>
      <c r="U21" s="1">
        <v>0.95</v>
      </c>
      <c r="V21" s="1">
        <v>0.7</v>
      </c>
      <c r="W21" s="1"/>
      <c r="X21" s="1"/>
      <c r="Y21" s="1"/>
      <c r="Z21" s="3">
        <f>_xlfn.IFNA(VLOOKUP(D21,附件!$B$19:$C$21,2,FALSE)+附件!$C$23,0)+S21+J21*((200/(附件!$C$25+100))^0.5)</f>
        <v>6.42</v>
      </c>
      <c r="AA21" s="3">
        <f>G21*H21/Z21*R21/100</f>
        <v>32.89719626168224</v>
      </c>
      <c r="AB21">
        <f>G21*H21*R21/100</f>
        <v>211.2</v>
      </c>
      <c r="AC21">
        <f>$AA21*T21</f>
        <v>44.411214953271028</v>
      </c>
      <c r="AD21">
        <f>$AA21*U21</f>
        <v>31.252336448598125</v>
      </c>
      <c r="AE21">
        <f>$AA21*V21</f>
        <v>23.028037383177566</v>
      </c>
    </row>
    <row r="22" spans="1:31" ht="23.25" customHeight="1" x14ac:dyDescent="0.2">
      <c r="A22" s="22" t="s">
        <v>1503</v>
      </c>
      <c r="B22" s="1" t="s">
        <v>1503</v>
      </c>
      <c r="C22" s="1" t="s">
        <v>1481</v>
      </c>
      <c r="D22" s="1" t="s">
        <v>1491</v>
      </c>
      <c r="E22" s="1">
        <v>11</v>
      </c>
      <c r="F22" s="1">
        <v>28</v>
      </c>
      <c r="G22" s="1">
        <v>48</v>
      </c>
      <c r="H22" s="1">
        <v>4</v>
      </c>
      <c r="I22" s="1">
        <v>8.75</v>
      </c>
      <c r="J22" s="1">
        <v>6.07</v>
      </c>
      <c r="K22" s="1">
        <v>50</v>
      </c>
      <c r="L22" s="1">
        <v>12</v>
      </c>
      <c r="M22" s="1">
        <v>25</v>
      </c>
      <c r="N22" s="1">
        <v>0</v>
      </c>
      <c r="O22" s="1" t="s">
        <v>18</v>
      </c>
      <c r="P22" s="1">
        <v>40</v>
      </c>
      <c r="Q22" s="1" t="s">
        <v>19</v>
      </c>
      <c r="R22" s="1">
        <v>110</v>
      </c>
      <c r="S22" s="1">
        <v>0.5</v>
      </c>
      <c r="T22" s="1">
        <v>1.35</v>
      </c>
      <c r="U22" s="1">
        <v>0.95</v>
      </c>
      <c r="V22" s="1">
        <v>0.7</v>
      </c>
      <c r="W22" s="1"/>
      <c r="X22" s="1"/>
      <c r="Y22" s="1"/>
      <c r="Z22" s="3">
        <f>_xlfn.IFNA(VLOOKUP(D22,附件!$B$19:$C$21,2,FALSE)+附件!$C$23,0)+S22+J22*((200/(附件!$C$25+100))^0.5)</f>
        <v>6.57</v>
      </c>
      <c r="AA22" s="3">
        <f>G22*H22/Z22*R22/100</f>
        <v>32.146118721461185</v>
      </c>
      <c r="AB22">
        <f>G22*H22*R22/100</f>
        <v>211.2</v>
      </c>
      <c r="AC22">
        <f>$AA22*T22</f>
        <v>43.397260273972606</v>
      </c>
      <c r="AD22">
        <f>$AA22*U22</f>
        <v>30.538812785388124</v>
      </c>
      <c r="AE22">
        <f>$AA22*V22</f>
        <v>22.50228310502283</v>
      </c>
    </row>
    <row r="23" spans="1:31" ht="23.25" customHeight="1" x14ac:dyDescent="0.2">
      <c r="A23" s="22" t="s">
        <v>109</v>
      </c>
      <c r="B23" s="1" t="s">
        <v>109</v>
      </c>
      <c r="C23" s="1" t="s">
        <v>1481</v>
      </c>
      <c r="D23" s="1" t="s">
        <v>1477</v>
      </c>
      <c r="E23" s="1">
        <v>10</v>
      </c>
      <c r="F23" s="1">
        <v>4</v>
      </c>
      <c r="G23" s="1">
        <v>11</v>
      </c>
      <c r="H23" s="1">
        <v>4</v>
      </c>
      <c r="I23" s="1">
        <v>1.27</v>
      </c>
      <c r="J23" s="1">
        <v>1.02</v>
      </c>
      <c r="K23" s="1">
        <v>50</v>
      </c>
      <c r="L23" s="1">
        <v>0</v>
      </c>
      <c r="M23" s="1">
        <v>9</v>
      </c>
      <c r="N23" s="1">
        <v>16</v>
      </c>
      <c r="O23" s="1" t="s">
        <v>18</v>
      </c>
      <c r="P23" s="1">
        <v>360</v>
      </c>
      <c r="Q23" s="1" t="s">
        <v>64</v>
      </c>
      <c r="R23" s="1">
        <v>110</v>
      </c>
      <c r="S23" s="1">
        <v>0.1</v>
      </c>
      <c r="T23" s="1">
        <v>1</v>
      </c>
      <c r="U23" s="1">
        <v>0.5</v>
      </c>
      <c r="V23" s="1">
        <v>0.2</v>
      </c>
      <c r="W23" s="1"/>
      <c r="X23" s="1"/>
      <c r="Y23" s="1"/>
      <c r="Z23" s="3">
        <f>_xlfn.IFNA(VLOOKUP(D23,附件!$B$19:$C$21,2,FALSE)+附件!$C$23,0)+S23+J23*((200/(附件!$C$25+100))^0.5)</f>
        <v>1.1200000000000001</v>
      </c>
      <c r="AA23" s="3">
        <f>G23*H23/Z23*R23/100</f>
        <v>43.214285714285715</v>
      </c>
      <c r="AB23">
        <f>G23*H23*R23/100</f>
        <v>48.4</v>
      </c>
      <c r="AC23">
        <f>$AA23*T23</f>
        <v>43.214285714285715</v>
      </c>
      <c r="AD23">
        <f>$AA23*U23</f>
        <v>21.607142857142858</v>
      </c>
      <c r="AE23">
        <f>$AA23*V23</f>
        <v>8.6428571428571441</v>
      </c>
    </row>
    <row r="24" spans="1:31" ht="23.25" customHeight="1" x14ac:dyDescent="0.2">
      <c r="A24" s="22" t="s">
        <v>1497</v>
      </c>
      <c r="B24" s="1" t="s">
        <v>1497</v>
      </c>
      <c r="C24" s="1" t="s">
        <v>1483</v>
      </c>
      <c r="D24" s="1" t="s">
        <v>1477</v>
      </c>
      <c r="E24" s="1">
        <v>13</v>
      </c>
      <c r="F24" s="1">
        <v>6</v>
      </c>
      <c r="G24" s="1">
        <v>16</v>
      </c>
      <c r="H24" s="1">
        <v>4</v>
      </c>
      <c r="I24" s="1">
        <v>2.02</v>
      </c>
      <c r="J24" s="1">
        <v>1.5</v>
      </c>
      <c r="K24" s="1">
        <v>50</v>
      </c>
      <c r="L24" s="1">
        <v>0</v>
      </c>
      <c r="M24" s="1">
        <v>30</v>
      </c>
      <c r="N24" s="1">
        <v>15</v>
      </c>
      <c r="O24" s="1" t="s">
        <v>18</v>
      </c>
      <c r="P24" s="1">
        <v>360</v>
      </c>
      <c r="Q24" s="1" t="s">
        <v>27</v>
      </c>
      <c r="R24" s="1">
        <v>120</v>
      </c>
      <c r="S24" s="1">
        <v>0.1</v>
      </c>
      <c r="T24" s="1">
        <v>0.9</v>
      </c>
      <c r="U24" s="1">
        <v>0.7</v>
      </c>
      <c r="V24" s="1">
        <v>0.4</v>
      </c>
      <c r="W24" s="1"/>
      <c r="X24" s="1"/>
      <c r="Y24" s="1"/>
      <c r="Z24" s="3">
        <f>_xlfn.IFNA(VLOOKUP(D24,附件!$B$19:$C$21,2,FALSE)+附件!$C$23,0)+S24+J24*((200/(附件!$C$25+100))^0.5)</f>
        <v>1.6</v>
      </c>
      <c r="AA24" s="3">
        <f>G24*H24/Z24*R24/100</f>
        <v>48</v>
      </c>
      <c r="AB24">
        <f>G24*H24*R24/100</f>
        <v>76.8</v>
      </c>
      <c r="AC24">
        <f>$AA24*T24</f>
        <v>43.2</v>
      </c>
      <c r="AD24">
        <f>$AA24*U24</f>
        <v>33.599999999999994</v>
      </c>
      <c r="AE24">
        <f>$AA24*V24</f>
        <v>19.200000000000003</v>
      </c>
    </row>
    <row r="25" spans="1:31" ht="23.25" customHeight="1" x14ac:dyDescent="0.2">
      <c r="A25" s="22" t="s">
        <v>1553</v>
      </c>
      <c r="B25" s="1" t="s">
        <v>1553</v>
      </c>
      <c r="C25" s="1" t="s">
        <v>1481</v>
      </c>
      <c r="D25" s="1" t="s">
        <v>1477</v>
      </c>
      <c r="E25" s="1">
        <v>10</v>
      </c>
      <c r="F25" s="1">
        <v>4</v>
      </c>
      <c r="G25" s="1">
        <v>14</v>
      </c>
      <c r="H25" s="1">
        <v>4</v>
      </c>
      <c r="I25" s="1">
        <v>1.96</v>
      </c>
      <c r="J25" s="1">
        <v>1.63</v>
      </c>
      <c r="K25" s="1">
        <v>50</v>
      </c>
      <c r="L25" s="1">
        <v>0</v>
      </c>
      <c r="M25" s="1">
        <v>11</v>
      </c>
      <c r="N25" s="1">
        <v>14</v>
      </c>
      <c r="O25" s="1" t="s">
        <v>18</v>
      </c>
      <c r="P25" s="1">
        <v>360</v>
      </c>
      <c r="Q25" s="1" t="s">
        <v>19</v>
      </c>
      <c r="R25" s="1">
        <v>110</v>
      </c>
      <c r="S25" s="1">
        <v>0.1</v>
      </c>
      <c r="T25" s="1">
        <v>1.2</v>
      </c>
      <c r="U25" s="1">
        <v>0.6</v>
      </c>
      <c r="V25" s="1">
        <v>0.6</v>
      </c>
      <c r="W25" s="1"/>
      <c r="X25" s="1"/>
      <c r="Y25" s="1"/>
      <c r="Z25" s="3">
        <f>_xlfn.IFNA(VLOOKUP(D25,附件!$B$19:$C$21,2,FALSE)+附件!$C$23,0)+S25+J25*((200/(附件!$C$25+100))^0.5)</f>
        <v>1.73</v>
      </c>
      <c r="AA25" s="3">
        <f>G25*H25/Z25*R25/100</f>
        <v>35.606936416184979</v>
      </c>
      <c r="AB25">
        <f>G25*H25*R25/100</f>
        <v>61.6</v>
      </c>
      <c r="AC25">
        <f>$AA25*T25</f>
        <v>42.728323699421971</v>
      </c>
      <c r="AD25">
        <f>$AA25*U25</f>
        <v>21.364161849710985</v>
      </c>
      <c r="AE25">
        <f>$AA25*V25</f>
        <v>21.364161849710985</v>
      </c>
    </row>
    <row r="26" spans="1:31" ht="23.25" customHeight="1" x14ac:dyDescent="0.2">
      <c r="A26" s="22" t="s">
        <v>1358</v>
      </c>
      <c r="B26" s="1" t="s">
        <v>1358</v>
      </c>
      <c r="C26" s="1" t="s">
        <v>1483</v>
      </c>
      <c r="D26" s="1" t="s">
        <v>1491</v>
      </c>
      <c r="E26" s="1">
        <v>13</v>
      </c>
      <c r="F26" s="1">
        <v>35</v>
      </c>
      <c r="G26" s="1">
        <v>54</v>
      </c>
      <c r="H26" s="1">
        <v>4</v>
      </c>
      <c r="I26" s="1">
        <v>8.83</v>
      </c>
      <c r="J26" s="1">
        <v>6.17</v>
      </c>
      <c r="K26" s="1">
        <v>55</v>
      </c>
      <c r="L26" s="1">
        <v>18</v>
      </c>
      <c r="M26" s="1">
        <v>45</v>
      </c>
      <c r="N26" s="1">
        <v>0</v>
      </c>
      <c r="O26" s="1" t="s">
        <v>18</v>
      </c>
      <c r="P26" s="1">
        <v>38</v>
      </c>
      <c r="Q26" s="1" t="s">
        <v>64</v>
      </c>
      <c r="R26" s="1">
        <v>115</v>
      </c>
      <c r="S26" s="1">
        <v>0.6</v>
      </c>
      <c r="T26" s="1">
        <v>1.1499999999999999</v>
      </c>
      <c r="U26" s="1">
        <v>1.1000000000000001</v>
      </c>
      <c r="V26" s="1">
        <v>0.9</v>
      </c>
      <c r="W26" s="1"/>
      <c r="X26" s="1"/>
      <c r="Y26" s="1"/>
      <c r="Z26" s="3">
        <f>_xlfn.IFNA(VLOOKUP(D26,附件!$B$19:$C$21,2,FALSE)+附件!$C$23,0)+S26+J26*((200/(附件!$C$25+100))^0.5)</f>
        <v>6.77</v>
      </c>
      <c r="AA26" s="3">
        <f>G26*H26/Z26*R26/100</f>
        <v>36.691285081240764</v>
      </c>
      <c r="AB26">
        <f>G26*H26*R26/100</f>
        <v>248.4</v>
      </c>
      <c r="AC26">
        <f>$AA26*T26</f>
        <v>42.194977843426877</v>
      </c>
      <c r="AD26">
        <f>$AA26*U26</f>
        <v>40.360413589364846</v>
      </c>
      <c r="AE26">
        <f>$AA26*V26</f>
        <v>33.022156573116689</v>
      </c>
    </row>
    <row r="27" spans="1:31" ht="23.25" customHeight="1" x14ac:dyDescent="0.2">
      <c r="A27" s="22" t="s">
        <v>51</v>
      </c>
      <c r="B27" s="1" t="s">
        <v>51</v>
      </c>
      <c r="C27" s="1" t="s">
        <v>1481</v>
      </c>
      <c r="D27" s="1" t="s">
        <v>1491</v>
      </c>
      <c r="E27" s="1">
        <v>11</v>
      </c>
      <c r="F27" s="1">
        <v>26</v>
      </c>
      <c r="G27" s="1">
        <v>46</v>
      </c>
      <c r="H27" s="1">
        <v>4</v>
      </c>
      <c r="I27" s="1">
        <v>8.85</v>
      </c>
      <c r="J27" s="1">
        <v>6.17</v>
      </c>
      <c r="K27" s="1">
        <v>50</v>
      </c>
      <c r="L27" s="1">
        <v>12</v>
      </c>
      <c r="M27" s="1">
        <v>25</v>
      </c>
      <c r="N27" s="1">
        <v>0</v>
      </c>
      <c r="O27" s="1" t="s">
        <v>18</v>
      </c>
      <c r="P27" s="1">
        <v>40</v>
      </c>
      <c r="Q27" s="1" t="s">
        <v>19</v>
      </c>
      <c r="R27" s="1">
        <v>110</v>
      </c>
      <c r="S27" s="1">
        <v>0.5</v>
      </c>
      <c r="T27" s="1">
        <v>1.35</v>
      </c>
      <c r="U27" s="1">
        <v>0.95</v>
      </c>
      <c r="V27" s="1">
        <v>0.7</v>
      </c>
      <c r="W27" s="1"/>
      <c r="X27" s="1"/>
      <c r="Y27" s="1"/>
      <c r="Z27" s="3">
        <f>_xlfn.IFNA(VLOOKUP(D27,附件!$B$19:$C$21,2,FALSE)+附件!$C$23,0)+S27+J27*((200/(附件!$C$25+100))^0.5)</f>
        <v>6.67</v>
      </c>
      <c r="AA27" s="3">
        <f>G27*H27/Z27*R27/100</f>
        <v>30.344827586206897</v>
      </c>
      <c r="AB27">
        <f>G27*H27*R27/100</f>
        <v>202.4</v>
      </c>
      <c r="AC27">
        <f>$AA27*T27</f>
        <v>40.965517241379317</v>
      </c>
      <c r="AD27">
        <f>$AA27*U27</f>
        <v>28.827586206896552</v>
      </c>
      <c r="AE27">
        <f>$AA27*V27</f>
        <v>21.241379310344826</v>
      </c>
    </row>
    <row r="28" spans="1:31" ht="23.25" customHeight="1" x14ac:dyDescent="0.2">
      <c r="A28" s="22" t="s">
        <v>135</v>
      </c>
      <c r="B28" s="1" t="s">
        <v>135</v>
      </c>
      <c r="C28" s="1" t="s">
        <v>1476</v>
      </c>
      <c r="D28" s="1" t="s">
        <v>1491</v>
      </c>
      <c r="E28" s="1">
        <v>7</v>
      </c>
      <c r="F28" s="1">
        <v>22</v>
      </c>
      <c r="G28" s="1">
        <v>34</v>
      </c>
      <c r="H28" s="1">
        <v>4</v>
      </c>
      <c r="I28" s="1">
        <v>3.46</v>
      </c>
      <c r="J28" s="1">
        <v>3.06</v>
      </c>
      <c r="K28" s="1">
        <v>65</v>
      </c>
      <c r="L28" s="1">
        <v>12</v>
      </c>
      <c r="M28" s="1">
        <v>12</v>
      </c>
      <c r="N28" s="1">
        <v>0</v>
      </c>
      <c r="O28" s="1" t="s">
        <v>18</v>
      </c>
      <c r="P28" s="1">
        <v>40</v>
      </c>
      <c r="Q28" s="1" t="s">
        <v>64</v>
      </c>
      <c r="R28" s="1">
        <v>105</v>
      </c>
      <c r="S28" s="1">
        <v>0.5</v>
      </c>
      <c r="T28" s="1">
        <v>1</v>
      </c>
      <c r="U28" s="1">
        <v>0.9</v>
      </c>
      <c r="V28" s="1">
        <v>0.5</v>
      </c>
      <c r="W28" s="1"/>
      <c r="X28" s="1"/>
      <c r="Y28" s="1"/>
      <c r="Z28" s="3">
        <f>_xlfn.IFNA(VLOOKUP(D28,附件!$B$19:$C$21,2,FALSE)+附件!$C$23,0)+S28+J28*((200/(附件!$C$25+100))^0.5)</f>
        <v>3.56</v>
      </c>
      <c r="AA28" s="3">
        <f>G28*H28/Z28*R28/100</f>
        <v>40.112359550561798</v>
      </c>
      <c r="AB28">
        <f>G28*H28*R28/100</f>
        <v>142.80000000000001</v>
      </c>
      <c r="AC28">
        <f>$AA28*T28</f>
        <v>40.112359550561798</v>
      </c>
      <c r="AD28">
        <f>$AA28*U28</f>
        <v>36.101123595505619</v>
      </c>
      <c r="AE28">
        <f>$AA28*V28</f>
        <v>20.056179775280899</v>
      </c>
    </row>
    <row r="29" spans="1:31" ht="23.25" customHeight="1" x14ac:dyDescent="0.2">
      <c r="A29" s="22" t="s">
        <v>160</v>
      </c>
      <c r="B29" s="1" t="s">
        <v>160</v>
      </c>
      <c r="C29" s="1" t="s">
        <v>1483</v>
      </c>
      <c r="D29" s="1" t="s">
        <v>1485</v>
      </c>
      <c r="E29" s="1">
        <v>13</v>
      </c>
      <c r="F29" s="1">
        <v>5</v>
      </c>
      <c r="G29" s="1">
        <v>15</v>
      </c>
      <c r="H29" s="1">
        <v>6</v>
      </c>
      <c r="I29" s="1">
        <v>3.67</v>
      </c>
      <c r="J29" s="1">
        <v>3.27</v>
      </c>
      <c r="K29" s="1">
        <v>70</v>
      </c>
      <c r="L29" s="1">
        <v>16</v>
      </c>
      <c r="M29" s="1">
        <v>30</v>
      </c>
      <c r="N29" s="1">
        <v>15</v>
      </c>
      <c r="O29" s="1" t="s">
        <v>18</v>
      </c>
      <c r="P29" s="1">
        <v>115</v>
      </c>
      <c r="Q29" s="1" t="s">
        <v>19</v>
      </c>
      <c r="R29" s="1">
        <v>105</v>
      </c>
      <c r="S29" s="1">
        <v>0.15</v>
      </c>
      <c r="T29" s="1">
        <v>1.45</v>
      </c>
      <c r="U29" s="1">
        <v>1.1000000000000001</v>
      </c>
      <c r="V29" s="1">
        <v>0.75</v>
      </c>
      <c r="W29" s="1"/>
      <c r="X29" s="1"/>
      <c r="Y29" s="1"/>
      <c r="Z29" s="3">
        <f>_xlfn.IFNA(VLOOKUP(D29,附件!$B$19:$C$21,2,FALSE)+附件!$C$23,0)+S29+J29*((200/(附件!$C$25+100))^0.5)</f>
        <v>3.42</v>
      </c>
      <c r="AA29" s="3">
        <f>G29*H29/Z29*R29/100</f>
        <v>27.631578947368421</v>
      </c>
      <c r="AB29">
        <f>G29*H29*R29/100</f>
        <v>94.5</v>
      </c>
      <c r="AC29">
        <f>$AA29*T29</f>
        <v>40.065789473684212</v>
      </c>
      <c r="AD29">
        <f>$AA29*U29</f>
        <v>30.394736842105267</v>
      </c>
      <c r="AE29">
        <f>$AA29*V29</f>
        <v>20.723684210526315</v>
      </c>
    </row>
    <row r="30" spans="1:31" ht="23.25" customHeight="1" x14ac:dyDescent="0.2">
      <c r="A30" s="22" t="s">
        <v>1310</v>
      </c>
      <c r="B30" s="1" t="s">
        <v>1310</v>
      </c>
      <c r="C30" s="1" t="s">
        <v>1476</v>
      </c>
      <c r="D30" s="1" t="s">
        <v>1485</v>
      </c>
      <c r="E30" s="1">
        <v>7</v>
      </c>
      <c r="F30" s="1">
        <v>20</v>
      </c>
      <c r="G30" s="1">
        <v>34</v>
      </c>
      <c r="H30" s="1">
        <v>3</v>
      </c>
      <c r="I30" s="1">
        <v>2.81</v>
      </c>
      <c r="J30" s="1">
        <v>2.4300000000000002</v>
      </c>
      <c r="K30" s="1">
        <v>55</v>
      </c>
      <c r="L30" s="1">
        <v>40</v>
      </c>
      <c r="M30" s="1">
        <v>12</v>
      </c>
      <c r="N30" s="1">
        <v>0</v>
      </c>
      <c r="O30" s="1" t="s">
        <v>100</v>
      </c>
      <c r="P30" s="1">
        <v>120</v>
      </c>
      <c r="Q30" s="1" t="s">
        <v>64</v>
      </c>
      <c r="R30" s="1">
        <v>110</v>
      </c>
      <c r="S30" s="1">
        <v>0.4</v>
      </c>
      <c r="T30" s="1">
        <v>1</v>
      </c>
      <c r="U30" s="1">
        <v>0.75</v>
      </c>
      <c r="V30" s="1">
        <v>0.4</v>
      </c>
      <c r="W30" s="1"/>
      <c r="X30" s="1"/>
      <c r="Y30" s="1"/>
      <c r="Z30" s="3">
        <f>_xlfn.IFNA(VLOOKUP(D30,附件!$B$19:$C$21,2,FALSE)+附件!$C$23,0)+S30+J30*((200/(附件!$C$25+100))^0.5)</f>
        <v>2.83</v>
      </c>
      <c r="AA30" s="3">
        <f>G30*H30/Z30*R30/100</f>
        <v>39.646643109540634</v>
      </c>
      <c r="AB30">
        <f>G30*H30*R30/100</f>
        <v>112.2</v>
      </c>
      <c r="AC30">
        <f>$AA30*T30</f>
        <v>39.646643109540634</v>
      </c>
      <c r="AD30">
        <f>$AA30*U30</f>
        <v>29.734982332155475</v>
      </c>
      <c r="AE30">
        <f>$AA30*V30</f>
        <v>15.858657243816253</v>
      </c>
    </row>
    <row r="31" spans="1:31" ht="23.25" customHeight="1" x14ac:dyDescent="0.2">
      <c r="A31" s="22" t="s">
        <v>1318</v>
      </c>
      <c r="B31" s="1" t="s">
        <v>1318</v>
      </c>
      <c r="C31" s="1" t="s">
        <v>1481</v>
      </c>
      <c r="D31" s="1" t="s">
        <v>1491</v>
      </c>
      <c r="E31" s="1">
        <v>11</v>
      </c>
      <c r="F31" s="1">
        <v>28</v>
      </c>
      <c r="G31" s="1">
        <v>52</v>
      </c>
      <c r="H31" s="1">
        <v>3</v>
      </c>
      <c r="I31" s="1">
        <v>7</v>
      </c>
      <c r="J31" s="1">
        <v>5.59</v>
      </c>
      <c r="K31" s="1">
        <v>50</v>
      </c>
      <c r="L31" s="1">
        <v>30</v>
      </c>
      <c r="M31" s="1">
        <v>25</v>
      </c>
      <c r="N31" s="1">
        <v>0</v>
      </c>
      <c r="O31" s="1" t="s">
        <v>18</v>
      </c>
      <c r="P31" s="1">
        <v>40</v>
      </c>
      <c r="Q31" s="1" t="s">
        <v>19</v>
      </c>
      <c r="R31" s="1">
        <v>105</v>
      </c>
      <c r="S31" s="1">
        <v>0</v>
      </c>
      <c r="T31" s="1">
        <v>1.35</v>
      </c>
      <c r="U31" s="1">
        <v>0.95</v>
      </c>
      <c r="V31" s="1">
        <v>0.7</v>
      </c>
      <c r="W31" s="1"/>
      <c r="X31" s="1"/>
      <c r="Y31" s="1"/>
      <c r="Z31" s="3">
        <f>_xlfn.IFNA(VLOOKUP(D31,附件!$B$19:$C$21,2,FALSE)+附件!$C$23,0)+S31+J31*((200/(附件!$C$25+100))^0.5)</f>
        <v>5.59</v>
      </c>
      <c r="AA31" s="3">
        <f>G31*H31/Z31*R31/100</f>
        <v>29.302325581395348</v>
      </c>
      <c r="AB31">
        <f>G31*H31*R31/100</f>
        <v>163.80000000000001</v>
      </c>
      <c r="AC31">
        <f>$AA31*T31</f>
        <v>39.558139534883722</v>
      </c>
      <c r="AD31">
        <f>$AA31*U31</f>
        <v>27.837209302325579</v>
      </c>
      <c r="AE31">
        <f>$AA31*V31</f>
        <v>20.511627906976742</v>
      </c>
    </row>
    <row r="32" spans="1:31" ht="23.25" customHeight="1" x14ac:dyDescent="0.2">
      <c r="A32" s="22" t="s">
        <v>1523</v>
      </c>
      <c r="B32" s="1" t="s">
        <v>1523</v>
      </c>
      <c r="C32" s="1" t="s">
        <v>1483</v>
      </c>
      <c r="D32" s="1" t="s">
        <v>1485</v>
      </c>
      <c r="E32" s="1">
        <v>13</v>
      </c>
      <c r="F32" s="1">
        <v>7</v>
      </c>
      <c r="G32" s="1">
        <v>16</v>
      </c>
      <c r="H32" s="1">
        <v>6</v>
      </c>
      <c r="I32" s="1">
        <v>4.1900000000000004</v>
      </c>
      <c r="J32" s="1">
        <v>3.56</v>
      </c>
      <c r="K32" s="1">
        <v>55</v>
      </c>
      <c r="L32" s="1">
        <v>18</v>
      </c>
      <c r="M32" s="1">
        <v>45</v>
      </c>
      <c r="N32" s="1">
        <v>0</v>
      </c>
      <c r="O32" s="1" t="s">
        <v>18</v>
      </c>
      <c r="P32" s="1">
        <v>110</v>
      </c>
      <c r="Q32" s="1" t="s">
        <v>19</v>
      </c>
      <c r="R32" s="1">
        <v>105</v>
      </c>
      <c r="S32" s="1">
        <v>0.15</v>
      </c>
      <c r="T32" s="1">
        <v>1.45</v>
      </c>
      <c r="U32" s="1">
        <v>1.05</v>
      </c>
      <c r="V32" s="1">
        <v>0.7</v>
      </c>
      <c r="W32" s="1"/>
      <c r="X32" s="1"/>
      <c r="Y32" s="1"/>
      <c r="Z32" s="3">
        <f>_xlfn.IFNA(VLOOKUP(D32,附件!$B$19:$C$21,2,FALSE)+附件!$C$23,0)+S32+J32*((200/(附件!$C$25+100))^0.5)</f>
        <v>3.71</v>
      </c>
      <c r="AA32" s="3">
        <f>G32*H32/Z32*R32/100</f>
        <v>27.169811320754715</v>
      </c>
      <c r="AB32">
        <f>G32*H32*R32/100</f>
        <v>100.8</v>
      </c>
      <c r="AC32">
        <f>$AA32*T32</f>
        <v>39.396226415094333</v>
      </c>
      <c r="AD32">
        <f>$AA32*U32</f>
        <v>28.528301886792452</v>
      </c>
      <c r="AE32">
        <f>$AA32*V32</f>
        <v>19.018867924528298</v>
      </c>
    </row>
    <row r="33" spans="1:31" ht="23.25" customHeight="1" x14ac:dyDescent="0.2">
      <c r="A33" s="22" t="s">
        <v>1321</v>
      </c>
      <c r="B33" s="1" t="s">
        <v>1321</v>
      </c>
      <c r="C33" s="1" t="s">
        <v>1481</v>
      </c>
      <c r="D33" s="1" t="s">
        <v>1491</v>
      </c>
      <c r="E33" s="1">
        <v>10</v>
      </c>
      <c r="F33" s="1">
        <v>27</v>
      </c>
      <c r="G33" s="1">
        <v>47</v>
      </c>
      <c r="H33" s="1">
        <v>4</v>
      </c>
      <c r="I33" s="1">
        <v>9.26</v>
      </c>
      <c r="J33" s="1">
        <v>6.6</v>
      </c>
      <c r="K33" s="1">
        <v>55</v>
      </c>
      <c r="L33" s="1">
        <v>12</v>
      </c>
      <c r="M33" s="1">
        <v>25</v>
      </c>
      <c r="N33" s="1">
        <v>0</v>
      </c>
      <c r="O33" s="1" t="s">
        <v>18</v>
      </c>
      <c r="P33" s="1">
        <v>38</v>
      </c>
      <c r="Q33" s="1" t="s">
        <v>19</v>
      </c>
      <c r="R33" s="1">
        <v>110</v>
      </c>
      <c r="S33" s="1">
        <v>0.5</v>
      </c>
      <c r="T33" s="1">
        <v>1.35</v>
      </c>
      <c r="U33" s="1">
        <v>0.95</v>
      </c>
      <c r="V33" s="1">
        <v>0.7</v>
      </c>
      <c r="W33" s="1"/>
      <c r="X33" s="1"/>
      <c r="Y33" s="1"/>
      <c r="Z33" s="3">
        <f>_xlfn.IFNA(VLOOKUP(D33,附件!$B$19:$C$21,2,FALSE)+附件!$C$23,0)+S33+J33*((200/(附件!$C$25+100))^0.5)</f>
        <v>7.1</v>
      </c>
      <c r="AA33" s="3">
        <f>G33*H33/Z33*R33/100</f>
        <v>29.12676056338028</v>
      </c>
      <c r="AB33">
        <f>G33*H33*R33/100</f>
        <v>206.8</v>
      </c>
      <c r="AC33">
        <f>$AA33*T33</f>
        <v>39.321126760563381</v>
      </c>
      <c r="AD33">
        <f>$AA33*U33</f>
        <v>27.670422535211266</v>
      </c>
      <c r="AE33">
        <f>$AA33*V33</f>
        <v>20.388732394366194</v>
      </c>
    </row>
    <row r="34" spans="1:31" ht="23.25" customHeight="1" x14ac:dyDescent="0.2">
      <c r="A34" s="22" t="s">
        <v>1547</v>
      </c>
      <c r="B34" s="1" t="s">
        <v>1547</v>
      </c>
      <c r="C34" s="1" t="s">
        <v>1476</v>
      </c>
      <c r="D34" s="1" t="s">
        <v>1485</v>
      </c>
      <c r="E34" s="1">
        <v>7</v>
      </c>
      <c r="F34" s="1">
        <v>18</v>
      </c>
      <c r="G34" s="1">
        <v>32</v>
      </c>
      <c r="H34" s="1">
        <v>3</v>
      </c>
      <c r="I34" s="1">
        <v>2.69</v>
      </c>
      <c r="J34" s="1">
        <v>2.29</v>
      </c>
      <c r="K34" s="1">
        <v>55</v>
      </c>
      <c r="L34" s="1">
        <v>40</v>
      </c>
      <c r="M34" s="1">
        <v>12</v>
      </c>
      <c r="N34" s="1">
        <v>0</v>
      </c>
      <c r="O34" s="1" t="s">
        <v>100</v>
      </c>
      <c r="P34" s="1">
        <v>120</v>
      </c>
      <c r="Q34" s="1" t="s">
        <v>64</v>
      </c>
      <c r="R34" s="1">
        <v>110</v>
      </c>
      <c r="S34" s="1">
        <v>0.4</v>
      </c>
      <c r="T34" s="1">
        <v>1</v>
      </c>
      <c r="U34" s="1">
        <v>0.75</v>
      </c>
      <c r="V34" s="1">
        <v>0.4</v>
      </c>
      <c r="W34" s="1"/>
      <c r="X34" s="1"/>
      <c r="Y34" s="1"/>
      <c r="Z34" s="3">
        <f>_xlfn.IFNA(VLOOKUP(D34,附件!$B$19:$C$21,2,FALSE)+附件!$C$23,0)+S34+J34*((200/(附件!$C$25+100))^0.5)</f>
        <v>2.69</v>
      </c>
      <c r="AA34" s="3">
        <f>G34*H34/Z34*R34/100</f>
        <v>39.256505576208177</v>
      </c>
      <c r="AB34">
        <f>G34*H34*R34/100</f>
        <v>105.6</v>
      </c>
      <c r="AC34">
        <f>$AA34*T34</f>
        <v>39.256505576208177</v>
      </c>
      <c r="AD34">
        <f>$AA34*U34</f>
        <v>29.442379182156131</v>
      </c>
      <c r="AE34">
        <f>$AA34*V34</f>
        <v>15.702602230483272</v>
      </c>
    </row>
    <row r="35" spans="1:31" ht="23.25" customHeight="1" x14ac:dyDescent="0.2">
      <c r="A35" s="22" t="s">
        <v>30</v>
      </c>
      <c r="B35" s="1" t="s">
        <v>30</v>
      </c>
      <c r="C35" s="1" t="s">
        <v>1481</v>
      </c>
      <c r="D35" s="1" t="s">
        <v>1477</v>
      </c>
      <c r="E35" s="1">
        <v>11</v>
      </c>
      <c r="F35" s="1">
        <v>4</v>
      </c>
      <c r="G35" s="1">
        <v>12</v>
      </c>
      <c r="H35" s="1">
        <v>4</v>
      </c>
      <c r="I35" s="1">
        <v>1.84</v>
      </c>
      <c r="J35" s="1">
        <v>1.52</v>
      </c>
      <c r="K35" s="1">
        <v>50</v>
      </c>
      <c r="L35" s="1">
        <v>0</v>
      </c>
      <c r="M35" s="1">
        <v>25</v>
      </c>
      <c r="N35" s="1">
        <v>0</v>
      </c>
      <c r="O35" s="1" t="s">
        <v>18</v>
      </c>
      <c r="P35" s="1">
        <v>360</v>
      </c>
      <c r="Q35" s="1" t="s">
        <v>19</v>
      </c>
      <c r="R35" s="1">
        <v>110</v>
      </c>
      <c r="S35" s="1">
        <v>0.1</v>
      </c>
      <c r="T35" s="1">
        <v>1.2</v>
      </c>
      <c r="U35" s="1">
        <v>0.6</v>
      </c>
      <c r="V35" s="1">
        <v>0.6</v>
      </c>
      <c r="W35" s="1"/>
      <c r="X35" s="1"/>
      <c r="Y35" s="1"/>
      <c r="Z35" s="3">
        <f>_xlfn.IFNA(VLOOKUP(D35,附件!$B$19:$C$21,2,FALSE)+附件!$C$23,0)+S35+J35*((200/(附件!$C$25+100))^0.5)</f>
        <v>1.62</v>
      </c>
      <c r="AA35" s="3">
        <f>G35*H35/Z35*R35/100</f>
        <v>32.592592592592588</v>
      </c>
      <c r="AB35">
        <f>G35*H35*R35/100</f>
        <v>52.8</v>
      </c>
      <c r="AC35">
        <f>$AA35*T35</f>
        <v>39.111111111111107</v>
      </c>
      <c r="AD35">
        <f>$AA35*U35</f>
        <v>19.555555555555554</v>
      </c>
      <c r="AE35">
        <f>$AA35*V35</f>
        <v>19.555555555555554</v>
      </c>
    </row>
    <row r="36" spans="1:31" ht="23.25" customHeight="1" x14ac:dyDescent="0.2">
      <c r="A36" s="22" t="s">
        <v>1548</v>
      </c>
      <c r="B36" s="1" t="s">
        <v>1548</v>
      </c>
      <c r="C36" s="1" t="s">
        <v>1483</v>
      </c>
      <c r="D36" s="1" t="s">
        <v>1485</v>
      </c>
      <c r="E36" s="1">
        <v>13</v>
      </c>
      <c r="F36" s="1">
        <v>10</v>
      </c>
      <c r="G36" s="1">
        <v>20</v>
      </c>
      <c r="H36" s="1">
        <v>6</v>
      </c>
      <c r="I36" s="1">
        <v>5.45</v>
      </c>
      <c r="J36" s="1">
        <v>4.58</v>
      </c>
      <c r="K36" s="1">
        <v>55</v>
      </c>
      <c r="L36" s="1">
        <v>20</v>
      </c>
      <c r="M36" s="1">
        <v>45</v>
      </c>
      <c r="N36" s="1">
        <v>0</v>
      </c>
      <c r="O36" s="1" t="s">
        <v>18</v>
      </c>
      <c r="P36" s="1">
        <v>120</v>
      </c>
      <c r="Q36" s="1" t="s">
        <v>19</v>
      </c>
      <c r="R36" s="1">
        <v>105</v>
      </c>
      <c r="S36" s="1">
        <v>0.15</v>
      </c>
      <c r="T36" s="1">
        <v>1.45</v>
      </c>
      <c r="U36" s="1">
        <v>1.05</v>
      </c>
      <c r="V36" s="1">
        <v>0.7</v>
      </c>
      <c r="W36" s="1"/>
      <c r="X36" s="1"/>
      <c r="Y36" s="1"/>
      <c r="Z36" s="3">
        <f>_xlfn.IFNA(VLOOKUP(D36,附件!$B$19:$C$21,2,FALSE)+附件!$C$23,0)+S36+J36*((200/(附件!$C$25+100))^0.5)</f>
        <v>4.7300000000000004</v>
      </c>
      <c r="AA36" s="3">
        <f>G36*H36/Z36*R36/100</f>
        <v>26.638477801268497</v>
      </c>
      <c r="AB36">
        <f>G36*H36*R36/100</f>
        <v>126</v>
      </c>
      <c r="AC36">
        <f>$AA36*T36</f>
        <v>38.625792811839318</v>
      </c>
      <c r="AD36">
        <f>$AA36*U36</f>
        <v>27.970401691331922</v>
      </c>
      <c r="AE36">
        <f>$AA36*V36</f>
        <v>18.646934460887948</v>
      </c>
    </row>
    <row r="37" spans="1:31" ht="23.25" customHeight="1" x14ac:dyDescent="0.2">
      <c r="A37" s="22" t="s">
        <v>1324</v>
      </c>
      <c r="B37" s="1" t="s">
        <v>1324</v>
      </c>
      <c r="C37" s="1" t="s">
        <v>1483</v>
      </c>
      <c r="D37" s="1" t="s">
        <v>1485</v>
      </c>
      <c r="E37" s="1">
        <v>13</v>
      </c>
      <c r="F37" s="1">
        <v>8</v>
      </c>
      <c r="G37" s="1">
        <v>18</v>
      </c>
      <c r="H37" s="1">
        <v>6</v>
      </c>
      <c r="I37" s="1">
        <v>5.19</v>
      </c>
      <c r="J37" s="1">
        <v>4.12</v>
      </c>
      <c r="K37" s="1">
        <v>55</v>
      </c>
      <c r="L37" s="1">
        <v>18</v>
      </c>
      <c r="M37" s="1">
        <v>45</v>
      </c>
      <c r="N37" s="1">
        <v>0</v>
      </c>
      <c r="O37" s="1" t="s">
        <v>18</v>
      </c>
      <c r="P37" s="1">
        <v>120</v>
      </c>
      <c r="Q37" s="1" t="s">
        <v>19</v>
      </c>
      <c r="R37" s="1">
        <v>105</v>
      </c>
      <c r="S37" s="1">
        <v>0.15</v>
      </c>
      <c r="T37" s="1">
        <v>1.45</v>
      </c>
      <c r="U37" s="1">
        <v>1.05</v>
      </c>
      <c r="V37" s="1">
        <v>0.7</v>
      </c>
      <c r="W37" s="1"/>
      <c r="X37" s="1"/>
      <c r="Y37" s="1"/>
      <c r="Z37" s="3">
        <f>_xlfn.IFNA(VLOOKUP(D37,附件!$B$19:$C$21,2,FALSE)+附件!$C$23,0)+S37+J37*((200/(附件!$C$25+100))^0.5)</f>
        <v>4.2700000000000005</v>
      </c>
      <c r="AA37" s="3">
        <f>G37*H37/Z37*R37/100</f>
        <v>26.557377049180321</v>
      </c>
      <c r="AB37">
        <f>G37*H37*R37/100</f>
        <v>113.4</v>
      </c>
      <c r="AC37">
        <f>$AA37*T37</f>
        <v>38.508196721311464</v>
      </c>
      <c r="AD37">
        <f>$AA37*U37</f>
        <v>27.885245901639337</v>
      </c>
      <c r="AE37">
        <f>$AA37*V37</f>
        <v>18.590163934426222</v>
      </c>
    </row>
    <row r="38" spans="1:31" ht="23.25" customHeight="1" x14ac:dyDescent="0.2">
      <c r="A38" s="22" t="s">
        <v>78</v>
      </c>
      <c r="B38" s="1" t="s">
        <v>78</v>
      </c>
      <c r="C38" s="1" t="s">
        <v>1481</v>
      </c>
      <c r="D38" s="1" t="s">
        <v>1485</v>
      </c>
      <c r="E38" s="1">
        <v>11</v>
      </c>
      <c r="F38" s="1">
        <v>9</v>
      </c>
      <c r="G38" s="1">
        <v>19</v>
      </c>
      <c r="H38" s="1">
        <v>6</v>
      </c>
      <c r="I38" s="1">
        <v>5.45</v>
      </c>
      <c r="J38" s="1">
        <v>4.59</v>
      </c>
      <c r="K38" s="1">
        <v>55</v>
      </c>
      <c r="L38" s="1">
        <v>42</v>
      </c>
      <c r="M38" s="1">
        <v>25</v>
      </c>
      <c r="N38" s="1">
        <v>0</v>
      </c>
      <c r="O38" s="1" t="s">
        <v>18</v>
      </c>
      <c r="P38" s="1">
        <v>120</v>
      </c>
      <c r="Q38" s="1" t="s">
        <v>19</v>
      </c>
      <c r="R38" s="1">
        <v>105</v>
      </c>
      <c r="S38" s="1">
        <v>0</v>
      </c>
      <c r="T38" s="1">
        <v>1.45</v>
      </c>
      <c r="U38" s="1">
        <v>1.05</v>
      </c>
      <c r="V38" s="1">
        <v>0.7</v>
      </c>
      <c r="W38" s="1"/>
      <c r="X38" s="1"/>
      <c r="Y38" s="1"/>
      <c r="Z38" s="3">
        <f>_xlfn.IFNA(VLOOKUP(D38,附件!$B$19:$C$21,2,FALSE)+附件!$C$23,0)+S38+J38*((200/(附件!$C$25+100))^0.5)</f>
        <v>4.59</v>
      </c>
      <c r="AA38" s="3">
        <f>G38*H38/Z38*R38/100</f>
        <v>26.078431372549019</v>
      </c>
      <c r="AB38">
        <f>G38*H38*R38/100</f>
        <v>119.7</v>
      </c>
      <c r="AC38">
        <f>$AA38*T38</f>
        <v>37.813725490196077</v>
      </c>
      <c r="AD38">
        <f>$AA38*U38</f>
        <v>27.382352941176471</v>
      </c>
      <c r="AE38">
        <f>$AA38*V38</f>
        <v>18.254901960784313</v>
      </c>
    </row>
    <row r="39" spans="1:31" ht="23.25" customHeight="1" x14ac:dyDescent="0.2">
      <c r="A39" s="22" t="s">
        <v>1317</v>
      </c>
      <c r="B39" s="1" t="s">
        <v>1317</v>
      </c>
      <c r="C39" s="1" t="s">
        <v>1481</v>
      </c>
      <c r="D39" s="1" t="s">
        <v>1485</v>
      </c>
      <c r="E39" s="1">
        <v>11</v>
      </c>
      <c r="F39" s="1">
        <v>8</v>
      </c>
      <c r="G39" s="1">
        <v>18</v>
      </c>
      <c r="H39" s="1">
        <v>4</v>
      </c>
      <c r="I39" s="1">
        <v>4.0599999999999996</v>
      </c>
      <c r="J39" s="1">
        <v>3.13</v>
      </c>
      <c r="K39" s="1">
        <v>55</v>
      </c>
      <c r="L39" s="1">
        <v>28</v>
      </c>
      <c r="M39" s="1">
        <v>25</v>
      </c>
      <c r="N39" s="1">
        <v>0</v>
      </c>
      <c r="O39" s="1" t="s">
        <v>43</v>
      </c>
      <c r="P39" s="1">
        <v>120</v>
      </c>
      <c r="Q39" s="1" t="s">
        <v>19</v>
      </c>
      <c r="R39" s="1">
        <v>110</v>
      </c>
      <c r="S39" s="1">
        <v>0</v>
      </c>
      <c r="T39" s="1">
        <v>1.45</v>
      </c>
      <c r="U39" s="1">
        <v>1.05</v>
      </c>
      <c r="V39" s="1">
        <v>0.7</v>
      </c>
      <c r="W39" s="1"/>
      <c r="X39" s="1"/>
      <c r="Y39" s="1"/>
      <c r="Z39" s="3">
        <f>_xlfn.IFNA(VLOOKUP(D39,附件!$B$19:$C$21,2,FALSE)+附件!$C$23,0)+S39+J39*((200/(附件!$C$25+100))^0.5)</f>
        <v>3.13</v>
      </c>
      <c r="AA39" s="3">
        <f>G39*H39/Z39*R39/100</f>
        <v>25.303514376996805</v>
      </c>
      <c r="AB39">
        <f>G39*H39*R39/100</f>
        <v>79.2</v>
      </c>
      <c r="AC39">
        <f>$AA39*T39</f>
        <v>36.690095846645363</v>
      </c>
      <c r="AD39">
        <f>$AA39*U39</f>
        <v>26.568690095846648</v>
      </c>
      <c r="AE39">
        <f>$AA39*V39</f>
        <v>17.712460063897762</v>
      </c>
    </row>
    <row r="40" spans="1:31" ht="23.25" customHeight="1" x14ac:dyDescent="0.2">
      <c r="A40" s="22" t="s">
        <v>1521</v>
      </c>
      <c r="B40" s="1" t="s">
        <v>1521</v>
      </c>
      <c r="C40" s="1" t="s">
        <v>1481</v>
      </c>
      <c r="D40" s="1" t="s">
        <v>1477</v>
      </c>
      <c r="E40" s="1">
        <v>11</v>
      </c>
      <c r="F40" s="1">
        <v>4</v>
      </c>
      <c r="G40" s="1">
        <v>11</v>
      </c>
      <c r="H40" s="1">
        <v>3</v>
      </c>
      <c r="I40" s="1">
        <v>1.25</v>
      </c>
      <c r="J40" s="1">
        <v>1.01</v>
      </c>
      <c r="K40" s="1">
        <v>50</v>
      </c>
      <c r="L40" s="1">
        <v>25</v>
      </c>
      <c r="M40" s="1">
        <v>10</v>
      </c>
      <c r="N40" s="1">
        <v>15</v>
      </c>
      <c r="O40" s="1" t="s">
        <v>18</v>
      </c>
      <c r="P40" s="1">
        <v>360</v>
      </c>
      <c r="Q40" s="1" t="s">
        <v>19</v>
      </c>
      <c r="R40" s="1">
        <v>120</v>
      </c>
      <c r="S40" s="1">
        <v>0.3</v>
      </c>
      <c r="T40" s="1">
        <v>1.2</v>
      </c>
      <c r="U40" s="1">
        <v>0.6</v>
      </c>
      <c r="V40" s="1">
        <v>0.6</v>
      </c>
      <c r="W40" s="1"/>
      <c r="X40" s="1"/>
      <c r="Y40" s="1"/>
      <c r="Z40" s="3">
        <f>_xlfn.IFNA(VLOOKUP(D40,附件!$B$19:$C$21,2,FALSE)+附件!$C$23,0)+S40+J40*((200/(附件!$C$25+100))^0.5)</f>
        <v>1.31</v>
      </c>
      <c r="AA40" s="3">
        <f>G40*H40/Z40*R40/100</f>
        <v>30.229007633587788</v>
      </c>
      <c r="AB40">
        <f>G40*H40*R40/100</f>
        <v>39.6</v>
      </c>
      <c r="AC40">
        <f>$AA40*T40</f>
        <v>36.274809160305345</v>
      </c>
      <c r="AD40">
        <f>$AA40*U40</f>
        <v>18.137404580152673</v>
      </c>
      <c r="AE40">
        <f>$AA40*V40</f>
        <v>18.137404580152673</v>
      </c>
    </row>
    <row r="41" spans="1:31" ht="23.25" customHeight="1" x14ac:dyDescent="0.2">
      <c r="A41" s="22" t="s">
        <v>1536</v>
      </c>
      <c r="B41" s="1" t="s">
        <v>1536</v>
      </c>
      <c r="C41" s="1" t="s">
        <v>1481</v>
      </c>
      <c r="D41" s="1" t="s">
        <v>1485</v>
      </c>
      <c r="E41" s="1">
        <v>10</v>
      </c>
      <c r="F41" s="1">
        <v>6</v>
      </c>
      <c r="G41" s="1">
        <v>15</v>
      </c>
      <c r="H41" s="1">
        <v>6</v>
      </c>
      <c r="I41" s="1">
        <v>4.26</v>
      </c>
      <c r="J41" s="1">
        <v>3.66</v>
      </c>
      <c r="K41" s="1">
        <v>55</v>
      </c>
      <c r="L41" s="1">
        <v>18</v>
      </c>
      <c r="M41" s="1">
        <v>25</v>
      </c>
      <c r="N41" s="1">
        <v>0</v>
      </c>
      <c r="O41" s="1" t="s">
        <v>18</v>
      </c>
      <c r="P41" s="1">
        <v>110</v>
      </c>
      <c r="Q41" s="1" t="s">
        <v>19</v>
      </c>
      <c r="R41" s="1">
        <v>105</v>
      </c>
      <c r="S41" s="1">
        <v>0.15</v>
      </c>
      <c r="T41" s="1">
        <v>1.45</v>
      </c>
      <c r="U41" s="1">
        <v>1.05</v>
      </c>
      <c r="V41" s="1">
        <v>0.7</v>
      </c>
      <c r="W41" s="1"/>
      <c r="X41" s="1"/>
      <c r="Y41" s="1"/>
      <c r="Z41" s="3">
        <f>_xlfn.IFNA(VLOOKUP(D41,附件!$B$19:$C$21,2,FALSE)+附件!$C$23,0)+S41+J41*((200/(附件!$C$25+100))^0.5)</f>
        <v>3.81</v>
      </c>
      <c r="AA41" s="3">
        <f>G41*H41/Z41*R41/100</f>
        <v>24.803149606299211</v>
      </c>
      <c r="AB41">
        <f>G41*H41*R41/100</f>
        <v>94.5</v>
      </c>
      <c r="AC41">
        <f>$AA41*T41</f>
        <v>35.964566929133852</v>
      </c>
      <c r="AD41">
        <f>$AA41*U41</f>
        <v>26.043307086614174</v>
      </c>
      <c r="AE41">
        <f>$AA41*V41</f>
        <v>17.362204724409448</v>
      </c>
    </row>
    <row r="42" spans="1:31" ht="23.25" customHeight="1" x14ac:dyDescent="0.2">
      <c r="A42" s="22" t="s">
        <v>45</v>
      </c>
      <c r="B42" s="1" t="s">
        <v>45</v>
      </c>
      <c r="C42" s="1" t="s">
        <v>1481</v>
      </c>
      <c r="D42" s="1" t="s">
        <v>1485</v>
      </c>
      <c r="E42" s="1">
        <v>11</v>
      </c>
      <c r="F42" s="1">
        <v>7</v>
      </c>
      <c r="G42" s="1">
        <v>17</v>
      </c>
      <c r="H42" s="1">
        <v>4</v>
      </c>
      <c r="I42" s="1">
        <v>3.98</v>
      </c>
      <c r="J42" s="1">
        <v>3.07</v>
      </c>
      <c r="K42" s="1">
        <v>55</v>
      </c>
      <c r="L42" s="1">
        <v>28</v>
      </c>
      <c r="M42" s="1">
        <v>25</v>
      </c>
      <c r="N42" s="1">
        <v>0</v>
      </c>
      <c r="O42" s="1" t="s">
        <v>43</v>
      </c>
      <c r="P42" s="1">
        <v>120</v>
      </c>
      <c r="Q42" s="1" t="s">
        <v>19</v>
      </c>
      <c r="R42" s="1">
        <v>110</v>
      </c>
      <c r="S42" s="1">
        <v>0</v>
      </c>
      <c r="T42" s="1">
        <v>1.45</v>
      </c>
      <c r="U42" s="1">
        <v>1.05</v>
      </c>
      <c r="V42" s="1">
        <v>0.7</v>
      </c>
      <c r="W42" s="1"/>
      <c r="X42" s="1"/>
      <c r="Y42" s="1"/>
      <c r="Z42" s="3">
        <f>_xlfn.IFNA(VLOOKUP(D42,附件!$B$19:$C$21,2,FALSE)+附件!$C$23,0)+S42+J42*((200/(附件!$C$25+100))^0.5)</f>
        <v>3.07</v>
      </c>
      <c r="AA42" s="3">
        <f>G42*H42/Z42*R42/100</f>
        <v>24.364820846905541</v>
      </c>
      <c r="AB42">
        <f>G42*H42*R42/100</f>
        <v>74.8</v>
      </c>
      <c r="AC42">
        <f>$AA42*T42</f>
        <v>35.328990228013033</v>
      </c>
      <c r="AD42">
        <f>$AA42*U42</f>
        <v>25.583061889250818</v>
      </c>
      <c r="AE42">
        <f>$AA42*V42</f>
        <v>17.055374592833878</v>
      </c>
    </row>
    <row r="43" spans="1:31" ht="23.25" customHeight="1" x14ac:dyDescent="0.2">
      <c r="A43" s="22" t="s">
        <v>1316</v>
      </c>
      <c r="B43" s="1" t="s">
        <v>1316</v>
      </c>
      <c r="C43" s="1" t="s">
        <v>1481</v>
      </c>
      <c r="D43" s="1" t="s">
        <v>1485</v>
      </c>
      <c r="E43" s="1">
        <v>10</v>
      </c>
      <c r="F43" s="1">
        <v>7</v>
      </c>
      <c r="G43" s="1">
        <v>17</v>
      </c>
      <c r="H43" s="1">
        <v>6</v>
      </c>
      <c r="I43" s="1">
        <v>5.32</v>
      </c>
      <c r="J43" s="1">
        <v>4.26</v>
      </c>
      <c r="K43" s="1">
        <v>55</v>
      </c>
      <c r="L43" s="1">
        <v>18</v>
      </c>
      <c r="M43" s="1">
        <v>25</v>
      </c>
      <c r="N43" s="1">
        <v>0</v>
      </c>
      <c r="O43" s="1" t="s">
        <v>18</v>
      </c>
      <c r="P43" s="1">
        <v>120</v>
      </c>
      <c r="Q43" s="1" t="s">
        <v>19</v>
      </c>
      <c r="R43" s="1">
        <v>105</v>
      </c>
      <c r="S43" s="1">
        <v>0.15</v>
      </c>
      <c r="T43" s="1">
        <v>1.45</v>
      </c>
      <c r="U43" s="1">
        <v>1.05</v>
      </c>
      <c r="V43" s="1">
        <v>0.7</v>
      </c>
      <c r="W43" s="1"/>
      <c r="X43" s="1"/>
      <c r="Y43" s="1"/>
      <c r="Z43" s="3">
        <f>_xlfn.IFNA(VLOOKUP(D43,附件!$B$19:$C$21,2,FALSE)+附件!$C$23,0)+S43+J43*((200/(附件!$C$25+100))^0.5)</f>
        <v>4.41</v>
      </c>
      <c r="AA43" s="3">
        <f>G43*H43/Z43*R43/100</f>
        <v>24.285714285714285</v>
      </c>
      <c r="AB43">
        <f>G43*H43*R43/100</f>
        <v>107.1</v>
      </c>
      <c r="AC43">
        <f>$AA43*T43</f>
        <v>35.214285714285708</v>
      </c>
      <c r="AD43">
        <f>$AA43*U43</f>
        <v>25.5</v>
      </c>
      <c r="AE43">
        <f>$AA43*V43</f>
        <v>16.999999999999996</v>
      </c>
    </row>
    <row r="44" spans="1:31" ht="23.25" customHeight="1" x14ac:dyDescent="0.2">
      <c r="A44" s="22" t="s">
        <v>78</v>
      </c>
      <c r="B44" s="1" t="s">
        <v>78</v>
      </c>
      <c r="C44" s="1" t="s">
        <v>1481</v>
      </c>
      <c r="D44" s="1" t="s">
        <v>1485</v>
      </c>
      <c r="E44" s="1">
        <v>11</v>
      </c>
      <c r="F44" s="1">
        <v>10</v>
      </c>
      <c r="G44" s="1">
        <v>22</v>
      </c>
      <c r="H44" s="1">
        <v>6</v>
      </c>
      <c r="I44" s="1">
        <v>5.17</v>
      </c>
      <c r="J44" s="1">
        <v>4.13</v>
      </c>
      <c r="K44" s="1">
        <v>55</v>
      </c>
      <c r="L44" s="1">
        <v>42</v>
      </c>
      <c r="M44" s="1">
        <v>25</v>
      </c>
      <c r="N44" s="1">
        <v>0</v>
      </c>
      <c r="O44" s="1" t="s">
        <v>18</v>
      </c>
      <c r="P44" s="1">
        <v>120</v>
      </c>
      <c r="Q44" s="1" t="s">
        <v>27</v>
      </c>
      <c r="R44" s="1">
        <v>105</v>
      </c>
      <c r="S44" s="1">
        <v>0</v>
      </c>
      <c r="T44" s="1">
        <v>1</v>
      </c>
      <c r="U44" s="1">
        <v>0.8</v>
      </c>
      <c r="V44" s="1">
        <v>0.6</v>
      </c>
      <c r="W44" s="1"/>
      <c r="X44" s="1"/>
      <c r="Y44" s="1"/>
      <c r="Z44" s="3">
        <f>_xlfn.IFNA(VLOOKUP(D44,附件!$B$19:$C$21,2,FALSE)+附件!$C$23,0)+S44+J44*((200/(附件!$C$25+100))^0.5)</f>
        <v>4.13</v>
      </c>
      <c r="AA44" s="3">
        <f>G44*H44/Z44*R44/100</f>
        <v>33.559322033898304</v>
      </c>
      <c r="AB44">
        <f>G44*H44*R44/100</f>
        <v>138.6</v>
      </c>
      <c r="AC44">
        <f>$AA44*T44</f>
        <v>33.559322033898304</v>
      </c>
      <c r="AD44">
        <f>$AA44*U44</f>
        <v>26.847457627118644</v>
      </c>
      <c r="AE44">
        <f>$AA44*V44</f>
        <v>20.135593220338983</v>
      </c>
    </row>
    <row r="45" spans="1:31" ht="23.25" customHeight="1" x14ac:dyDescent="0.2">
      <c r="A45" s="22" t="s">
        <v>1498</v>
      </c>
      <c r="B45" s="1" t="s">
        <v>1498</v>
      </c>
      <c r="C45" s="1" t="s">
        <v>1481</v>
      </c>
      <c r="D45" s="1" t="s">
        <v>1491</v>
      </c>
      <c r="E45" s="1">
        <v>11</v>
      </c>
      <c r="F45" s="1">
        <v>26</v>
      </c>
      <c r="G45" s="1">
        <v>46</v>
      </c>
      <c r="H45" s="1">
        <v>4</v>
      </c>
      <c r="I45" s="1">
        <v>10.11</v>
      </c>
      <c r="J45" s="1">
        <v>7.78</v>
      </c>
      <c r="K45" s="1">
        <v>50</v>
      </c>
      <c r="L45" s="1">
        <v>12</v>
      </c>
      <c r="M45" s="1">
        <v>25</v>
      </c>
      <c r="N45" s="1">
        <v>0</v>
      </c>
      <c r="O45" s="1" t="s">
        <v>18</v>
      </c>
      <c r="P45" s="1">
        <v>40</v>
      </c>
      <c r="Q45" s="1" t="s">
        <v>19</v>
      </c>
      <c r="R45" s="1">
        <v>110</v>
      </c>
      <c r="S45" s="1">
        <v>0.5</v>
      </c>
      <c r="T45" s="1">
        <v>1.35</v>
      </c>
      <c r="U45" s="1">
        <v>0.95</v>
      </c>
      <c r="V45" s="1">
        <v>0.7</v>
      </c>
      <c r="W45" s="1"/>
      <c r="X45" s="1"/>
      <c r="Y45" s="1"/>
      <c r="Z45" s="3">
        <f>_xlfn.IFNA(VLOOKUP(D45,附件!$B$19:$C$21,2,FALSE)+附件!$C$23,0)+S45+J45*((200/(附件!$C$25+100))^0.5)</f>
        <v>8.2800000000000011</v>
      </c>
      <c r="AA45" s="3">
        <f>G45*H45/Z45*R45/100</f>
        <v>24.444444444444439</v>
      </c>
      <c r="AB45">
        <f>G45*H45*R45/100</f>
        <v>202.4</v>
      </c>
      <c r="AC45">
        <f>$AA45*T45</f>
        <v>32.999999999999993</v>
      </c>
      <c r="AD45">
        <f>$AA45*U45</f>
        <v>23.222222222222218</v>
      </c>
      <c r="AE45">
        <f>$AA45*V45</f>
        <v>17.111111111111107</v>
      </c>
    </row>
    <row r="46" spans="1:31" ht="23.25" customHeight="1" x14ac:dyDescent="0.2">
      <c r="A46" s="22" t="s">
        <v>1313</v>
      </c>
      <c r="B46" s="1" t="s">
        <v>1313</v>
      </c>
      <c r="C46" s="1" t="s">
        <v>1476</v>
      </c>
      <c r="D46" s="1" t="s">
        <v>1477</v>
      </c>
      <c r="E46" s="1">
        <v>6</v>
      </c>
      <c r="F46" s="1">
        <v>8</v>
      </c>
      <c r="G46" s="1">
        <v>14</v>
      </c>
      <c r="H46" s="1">
        <v>4</v>
      </c>
      <c r="I46" s="1">
        <v>2.0699999999999998</v>
      </c>
      <c r="J46" s="1">
        <v>1.83</v>
      </c>
      <c r="K46" s="1">
        <v>50</v>
      </c>
      <c r="L46" s="1">
        <v>15</v>
      </c>
      <c r="M46" s="1">
        <v>12</v>
      </c>
      <c r="N46" s="1">
        <v>0</v>
      </c>
      <c r="O46" s="1" t="s">
        <v>18</v>
      </c>
      <c r="P46" s="1">
        <v>360</v>
      </c>
      <c r="Q46" s="1" t="s">
        <v>64</v>
      </c>
      <c r="R46" s="1">
        <v>110</v>
      </c>
      <c r="S46" s="1">
        <v>0.15</v>
      </c>
      <c r="T46" s="1">
        <v>1</v>
      </c>
      <c r="U46" s="1">
        <v>0.5</v>
      </c>
      <c r="V46" s="1">
        <v>0.2</v>
      </c>
      <c r="W46" s="1"/>
      <c r="X46" s="1"/>
      <c r="Y46" s="1"/>
      <c r="Z46" s="3">
        <f>_xlfn.IFNA(VLOOKUP(D46,附件!$B$19:$C$21,2,FALSE)+附件!$C$23,0)+S46+J46*((200/(附件!$C$25+100))^0.5)</f>
        <v>1.98</v>
      </c>
      <c r="AA46" s="3">
        <f>G46*H46/Z46*R46/100</f>
        <v>31.111111111111114</v>
      </c>
      <c r="AB46">
        <f>G46*H46*R46/100</f>
        <v>61.6</v>
      </c>
      <c r="AC46">
        <f>$AA46*T46</f>
        <v>31.111111111111114</v>
      </c>
      <c r="AD46">
        <f>$AA46*U46</f>
        <v>15.555555555555557</v>
      </c>
      <c r="AE46">
        <f>$AA46*V46</f>
        <v>6.2222222222222232</v>
      </c>
    </row>
    <row r="47" spans="1:31" ht="23.25" customHeight="1" x14ac:dyDescent="0.2">
      <c r="A47" s="22" t="s">
        <v>1531</v>
      </c>
      <c r="B47" s="1" t="s">
        <v>1531</v>
      </c>
      <c r="C47" s="1" t="s">
        <v>1476</v>
      </c>
      <c r="D47" s="1" t="s">
        <v>1485</v>
      </c>
      <c r="E47" s="1">
        <v>7</v>
      </c>
      <c r="F47" s="1">
        <v>10</v>
      </c>
      <c r="G47" s="1">
        <v>16</v>
      </c>
      <c r="H47" s="1">
        <v>4</v>
      </c>
      <c r="I47" s="1">
        <v>3.9</v>
      </c>
      <c r="J47" s="1">
        <v>3.34</v>
      </c>
      <c r="K47" s="1">
        <v>55</v>
      </c>
      <c r="L47" s="1">
        <v>28</v>
      </c>
      <c r="M47" s="1">
        <v>12</v>
      </c>
      <c r="N47" s="1">
        <v>0</v>
      </c>
      <c r="O47" s="1" t="s">
        <v>18</v>
      </c>
      <c r="P47" s="1">
        <v>120</v>
      </c>
      <c r="Q47" s="1" t="s">
        <v>19</v>
      </c>
      <c r="R47" s="1">
        <v>110</v>
      </c>
      <c r="S47" s="1">
        <v>0</v>
      </c>
      <c r="T47" s="1">
        <v>1.45</v>
      </c>
      <c r="U47" s="1">
        <v>1.05</v>
      </c>
      <c r="V47" s="1">
        <v>0.7</v>
      </c>
      <c r="W47" s="1"/>
      <c r="X47" s="1"/>
      <c r="Y47" s="1"/>
      <c r="Z47" s="3">
        <f>_xlfn.IFNA(VLOOKUP(D47,附件!$B$19:$C$21,2,FALSE)+附件!$C$23,0)+S47+J47*((200/(附件!$C$25+100))^0.5)</f>
        <v>3.34</v>
      </c>
      <c r="AA47" s="3">
        <f>G47*H47/Z47*R47/100</f>
        <v>21.077844311377248</v>
      </c>
      <c r="AB47">
        <f>G47*H47*R47/100</f>
        <v>70.400000000000006</v>
      </c>
      <c r="AC47">
        <f>$AA47*T47</f>
        <v>30.562874251497011</v>
      </c>
      <c r="AD47">
        <f>$AA47*U47</f>
        <v>22.13173652694611</v>
      </c>
      <c r="AE47">
        <f>$AA47*V47</f>
        <v>14.754491017964073</v>
      </c>
    </row>
    <row r="48" spans="1:31" ht="23.25" customHeight="1" x14ac:dyDescent="0.2">
      <c r="A48" s="22" t="s">
        <v>161</v>
      </c>
      <c r="B48" s="1" t="s">
        <v>161</v>
      </c>
      <c r="C48" s="1" t="s">
        <v>1483</v>
      </c>
      <c r="D48" s="1" t="s">
        <v>1491</v>
      </c>
      <c r="E48" s="1">
        <v>13</v>
      </c>
      <c r="F48" s="1">
        <v>30</v>
      </c>
      <c r="G48" s="1">
        <v>50</v>
      </c>
      <c r="H48" s="1">
        <v>6</v>
      </c>
      <c r="I48" s="1">
        <v>9.64</v>
      </c>
      <c r="J48" s="1">
        <v>7.32</v>
      </c>
      <c r="K48" s="1">
        <v>50</v>
      </c>
      <c r="L48" s="1">
        <v>22</v>
      </c>
      <c r="M48" s="1">
        <v>45</v>
      </c>
      <c r="N48" s="1">
        <v>0</v>
      </c>
      <c r="O48" s="1" t="s">
        <v>18</v>
      </c>
      <c r="P48" s="1">
        <v>38</v>
      </c>
      <c r="Q48" s="1" t="s">
        <v>27</v>
      </c>
      <c r="R48" s="1">
        <v>105</v>
      </c>
      <c r="S48" s="1">
        <v>0.5</v>
      </c>
      <c r="T48" s="1">
        <v>0.75</v>
      </c>
      <c r="U48" s="1">
        <v>1.1000000000000001</v>
      </c>
      <c r="V48" s="1">
        <v>0.75</v>
      </c>
      <c r="W48" s="1"/>
      <c r="X48" s="1"/>
      <c r="Y48" s="1"/>
      <c r="Z48" s="3">
        <f>_xlfn.IFNA(VLOOKUP(D48,附件!$B$19:$C$21,2,FALSE)+附件!$C$23,0)+S48+J48*((200/(附件!$C$25+100))^0.5)</f>
        <v>7.82</v>
      </c>
      <c r="AA48" s="3">
        <f>G48*H48/Z48*R48/100</f>
        <v>40.28132992327366</v>
      </c>
      <c r="AB48">
        <f>G48*H48*R48/100</f>
        <v>315</v>
      </c>
      <c r="AC48">
        <f>$AA48*T48</f>
        <v>30.210997442455245</v>
      </c>
      <c r="AD48">
        <f>$AA48*U48</f>
        <v>44.309462915601031</v>
      </c>
      <c r="AE48">
        <f>$AA48*V48</f>
        <v>30.210997442455245</v>
      </c>
    </row>
    <row r="49" spans="1:31" ht="23.25" customHeight="1" x14ac:dyDescent="0.2">
      <c r="A49" s="22" t="s">
        <v>1506</v>
      </c>
      <c r="B49" s="1" t="s">
        <v>1506</v>
      </c>
      <c r="C49" s="1" t="s">
        <v>1483</v>
      </c>
      <c r="D49" s="1" t="s">
        <v>1491</v>
      </c>
      <c r="E49" s="1">
        <v>13</v>
      </c>
      <c r="F49" s="1">
        <v>27</v>
      </c>
      <c r="G49" s="1">
        <v>51</v>
      </c>
      <c r="H49" s="1">
        <v>6</v>
      </c>
      <c r="I49" s="1">
        <v>9.94</v>
      </c>
      <c r="J49" s="1">
        <v>7.62</v>
      </c>
      <c r="K49" s="1">
        <v>50</v>
      </c>
      <c r="L49" s="1">
        <v>22</v>
      </c>
      <c r="M49" s="1">
        <v>45</v>
      </c>
      <c r="N49" s="1">
        <v>0</v>
      </c>
      <c r="O49" s="1" t="s">
        <v>18</v>
      </c>
      <c r="P49" s="1">
        <v>40</v>
      </c>
      <c r="Q49" s="1" t="s">
        <v>27</v>
      </c>
      <c r="R49" s="1">
        <v>105</v>
      </c>
      <c r="S49" s="1">
        <v>0.5</v>
      </c>
      <c r="T49" s="1">
        <v>0.75</v>
      </c>
      <c r="U49" s="1">
        <v>1.1000000000000001</v>
      </c>
      <c r="V49" s="1">
        <v>0.85</v>
      </c>
      <c r="W49" s="1"/>
      <c r="X49" s="1"/>
      <c r="Y49" s="1"/>
      <c r="Z49" s="3">
        <f>_xlfn.IFNA(VLOOKUP(D49,附件!$B$19:$C$21,2,FALSE)+附件!$C$23,0)+S49+J49*((200/(附件!$C$25+100))^0.5)</f>
        <v>8.120000000000001</v>
      </c>
      <c r="AA49" s="3">
        <f>G49*H49/Z49*R49/100</f>
        <v>39.568965517241374</v>
      </c>
      <c r="AB49">
        <f>G49*H49*R49/100</f>
        <v>321.3</v>
      </c>
      <c r="AC49">
        <f>$AA49*T49</f>
        <v>29.676724137931032</v>
      </c>
      <c r="AD49">
        <f>$AA49*U49</f>
        <v>43.525862068965516</v>
      </c>
      <c r="AE49">
        <f>$AA49*V49</f>
        <v>33.633620689655167</v>
      </c>
    </row>
    <row r="50" spans="1:31" ht="23.25" customHeight="1" x14ac:dyDescent="0.2">
      <c r="A50" s="22" t="s">
        <v>1527</v>
      </c>
      <c r="B50" s="1" t="s">
        <v>1527</v>
      </c>
      <c r="C50" s="1" t="s">
        <v>1476</v>
      </c>
      <c r="D50" s="1" t="s">
        <v>1491</v>
      </c>
      <c r="E50" s="1">
        <v>7</v>
      </c>
      <c r="F50" s="1">
        <v>23</v>
      </c>
      <c r="G50" s="1">
        <v>44</v>
      </c>
      <c r="H50" s="1">
        <v>3</v>
      </c>
      <c r="I50" s="1">
        <v>7.22</v>
      </c>
      <c r="J50" s="1">
        <v>6.33</v>
      </c>
      <c r="K50" s="1">
        <v>50</v>
      </c>
      <c r="L50" s="1">
        <v>30</v>
      </c>
      <c r="M50" s="1">
        <v>12</v>
      </c>
      <c r="N50" s="1">
        <v>0</v>
      </c>
      <c r="O50" s="1" t="s">
        <v>18</v>
      </c>
      <c r="P50" s="1">
        <v>40</v>
      </c>
      <c r="Q50" s="1" t="s">
        <v>19</v>
      </c>
      <c r="R50" s="1">
        <v>105</v>
      </c>
      <c r="S50" s="1">
        <v>0</v>
      </c>
      <c r="T50" s="1">
        <v>1.35</v>
      </c>
      <c r="U50" s="1">
        <v>0.95</v>
      </c>
      <c r="V50" s="1">
        <v>0.7</v>
      </c>
      <c r="W50" s="1"/>
      <c r="X50" s="1"/>
      <c r="Y50" s="1"/>
      <c r="Z50" s="3">
        <f>_xlfn.IFNA(VLOOKUP(D50,附件!$B$19:$C$21,2,FALSE)+附件!$C$23,0)+S50+J50*((200/(附件!$C$25+100))^0.5)</f>
        <v>6.33</v>
      </c>
      <c r="AA50" s="3">
        <f>G50*H50/Z50*R50/100</f>
        <v>21.895734597156398</v>
      </c>
      <c r="AB50">
        <f>G50*H50*R50/100</f>
        <v>138.6</v>
      </c>
      <c r="AC50">
        <f>$AA50*T50</f>
        <v>29.559241706161139</v>
      </c>
      <c r="AD50">
        <f>$AA50*U50</f>
        <v>20.800947867298579</v>
      </c>
      <c r="AE50">
        <f>$AA50*V50</f>
        <v>15.327014218009477</v>
      </c>
    </row>
    <row r="51" spans="1:31" ht="23.25" customHeight="1" x14ac:dyDescent="0.2">
      <c r="A51" s="22" t="s">
        <v>1516</v>
      </c>
      <c r="B51" s="1" t="s">
        <v>1516</v>
      </c>
      <c r="C51" s="1" t="s">
        <v>1476</v>
      </c>
      <c r="D51" s="1" t="s">
        <v>1485</v>
      </c>
      <c r="E51" s="1">
        <v>7</v>
      </c>
      <c r="F51" s="1">
        <v>6</v>
      </c>
      <c r="G51" s="1">
        <v>16</v>
      </c>
      <c r="H51" s="1">
        <v>3</v>
      </c>
      <c r="I51" s="1">
        <v>3.23</v>
      </c>
      <c r="J51" s="1">
        <v>2.68</v>
      </c>
      <c r="K51" s="1">
        <v>55</v>
      </c>
      <c r="L51" s="1">
        <v>25</v>
      </c>
      <c r="M51" s="1">
        <v>12</v>
      </c>
      <c r="N51" s="1">
        <v>0</v>
      </c>
      <c r="O51" s="1" t="s">
        <v>18</v>
      </c>
      <c r="P51" s="1">
        <v>120</v>
      </c>
      <c r="Q51" s="1" t="s">
        <v>19</v>
      </c>
      <c r="R51" s="1">
        <v>125</v>
      </c>
      <c r="S51" s="1">
        <v>0.3</v>
      </c>
      <c r="T51" s="1">
        <v>1.45</v>
      </c>
      <c r="U51" s="1">
        <v>1.05</v>
      </c>
      <c r="V51" s="1">
        <v>0.7</v>
      </c>
      <c r="W51" s="1"/>
      <c r="X51" s="1"/>
      <c r="Y51" s="1"/>
      <c r="Z51" s="3">
        <f>_xlfn.IFNA(VLOOKUP(D51,附件!$B$19:$C$21,2,FALSE)+附件!$C$23,0)+S51+J51*((200/(附件!$C$25+100))^0.5)</f>
        <v>2.98</v>
      </c>
      <c r="AA51" s="3">
        <f>G51*H51/Z51*R51/100</f>
        <v>20.134228187919465</v>
      </c>
      <c r="AB51">
        <f>G51*H51*R51/100</f>
        <v>60</v>
      </c>
      <c r="AC51">
        <f>$AA51*T51</f>
        <v>29.194630872483224</v>
      </c>
      <c r="AD51">
        <f>$AA51*U51</f>
        <v>21.140939597315441</v>
      </c>
      <c r="AE51">
        <f>$AA51*V51</f>
        <v>14.093959731543624</v>
      </c>
    </row>
    <row r="52" spans="1:31" ht="23.25" customHeight="1" x14ac:dyDescent="0.2">
      <c r="A52" s="22" t="s">
        <v>1495</v>
      </c>
      <c r="B52" s="1" t="s">
        <v>1495</v>
      </c>
      <c r="C52" s="1" t="s">
        <v>1481</v>
      </c>
      <c r="D52" s="1" t="s">
        <v>1480</v>
      </c>
      <c r="E52" s="1">
        <v>10</v>
      </c>
      <c r="F52" s="1">
        <v>57</v>
      </c>
      <c r="G52" s="1">
        <v>167</v>
      </c>
      <c r="H52" s="1">
        <v>3</v>
      </c>
      <c r="I52" s="1">
        <v>31.6</v>
      </c>
      <c r="J52" s="1">
        <v>25.29</v>
      </c>
      <c r="K52" s="1">
        <v>80</v>
      </c>
      <c r="L52" s="1">
        <v>0</v>
      </c>
      <c r="M52" s="1">
        <v>25</v>
      </c>
      <c r="N52" s="1">
        <v>0</v>
      </c>
      <c r="O52" s="1" t="s">
        <v>53</v>
      </c>
      <c r="P52" s="1">
        <v>50</v>
      </c>
      <c r="Q52" s="1" t="s">
        <v>19</v>
      </c>
      <c r="R52" s="1">
        <v>105</v>
      </c>
      <c r="S52" s="1">
        <v>0</v>
      </c>
      <c r="T52" s="1">
        <v>1.4</v>
      </c>
      <c r="U52" s="1">
        <v>1.1000000000000001</v>
      </c>
      <c r="V52" s="1">
        <v>0.9</v>
      </c>
      <c r="W52" s="1"/>
      <c r="X52" s="1"/>
      <c r="Y52" s="1"/>
      <c r="Z52" s="3">
        <f>_xlfn.IFNA(VLOOKUP(D52,附件!$B$19:$C$21,2,FALSE)+附件!$C$23,0)+S52+J52*((200/(附件!$C$25+100))^0.5)</f>
        <v>25.29</v>
      </c>
      <c r="AA52" s="3">
        <f>G52*H52/Z52*R52/100</f>
        <v>20.800711743772244</v>
      </c>
      <c r="AB52">
        <f>G52*H52*R52/100</f>
        <v>526.04999999999995</v>
      </c>
      <c r="AC52">
        <f>$AA52*T52</f>
        <v>29.12099644128114</v>
      </c>
      <c r="AD52">
        <f>$AA52*U52</f>
        <v>22.880782918149471</v>
      </c>
      <c r="AE52">
        <f>$AA52*V52</f>
        <v>18.72064056939502</v>
      </c>
    </row>
    <row r="53" spans="1:31" ht="23.25" customHeight="1" x14ac:dyDescent="0.2">
      <c r="A53" s="22" t="s">
        <v>159</v>
      </c>
      <c r="B53" s="1" t="s">
        <v>159</v>
      </c>
      <c r="C53" s="1" t="s">
        <v>1483</v>
      </c>
      <c r="D53" s="1" t="s">
        <v>1485</v>
      </c>
      <c r="E53" s="1">
        <v>13</v>
      </c>
      <c r="F53" s="1">
        <v>11</v>
      </c>
      <c r="G53" s="1">
        <v>24</v>
      </c>
      <c r="H53" s="1">
        <v>3</v>
      </c>
      <c r="I53" s="1">
        <v>3.19</v>
      </c>
      <c r="J53" s="1">
        <v>2.86</v>
      </c>
      <c r="K53" s="1">
        <v>70</v>
      </c>
      <c r="L53" s="1">
        <v>18</v>
      </c>
      <c r="M53" s="1">
        <v>45</v>
      </c>
      <c r="N53" s="1">
        <v>0</v>
      </c>
      <c r="O53" s="1" t="s">
        <v>18</v>
      </c>
      <c r="P53" s="1">
        <v>115</v>
      </c>
      <c r="Q53" s="1" t="s">
        <v>27</v>
      </c>
      <c r="R53" s="1">
        <v>105</v>
      </c>
      <c r="S53" s="1">
        <v>0</v>
      </c>
      <c r="T53" s="1">
        <v>1.1000000000000001</v>
      </c>
      <c r="U53" s="1">
        <v>0.9</v>
      </c>
      <c r="V53" s="1">
        <v>0.7</v>
      </c>
      <c r="W53" s="1"/>
      <c r="X53" s="1"/>
      <c r="Y53" s="1"/>
      <c r="Z53" s="3">
        <f>_xlfn.IFNA(VLOOKUP(D53,附件!$B$19:$C$21,2,FALSE)+附件!$C$23,0)+S53+J53*((200/(附件!$C$25+100))^0.5)</f>
        <v>2.86</v>
      </c>
      <c r="AA53" s="3">
        <f>G53*H53/Z53*R53/100</f>
        <v>26.433566433566433</v>
      </c>
      <c r="AB53">
        <f>G53*H53*R53/100</f>
        <v>75.599999999999994</v>
      </c>
      <c r="AC53">
        <f>$AA53*T53</f>
        <v>29.07692307692308</v>
      </c>
      <c r="AD53">
        <f>$AA53*U53</f>
        <v>23.79020979020979</v>
      </c>
      <c r="AE53">
        <f>$AA53*V53</f>
        <v>18.503496503496503</v>
      </c>
    </row>
    <row r="54" spans="1:31" ht="23.25" customHeight="1" x14ac:dyDescent="0.2">
      <c r="A54" s="22" t="s">
        <v>67</v>
      </c>
      <c r="B54" s="1" t="s">
        <v>67</v>
      </c>
      <c r="C54" s="1" t="s">
        <v>1481</v>
      </c>
      <c r="D54" s="1" t="s">
        <v>1534</v>
      </c>
      <c r="E54" s="1">
        <v>11</v>
      </c>
      <c r="F54" s="1">
        <v>35</v>
      </c>
      <c r="G54" s="1">
        <v>55</v>
      </c>
      <c r="H54" s="1">
        <v>6</v>
      </c>
      <c r="I54" s="1">
        <v>11.31</v>
      </c>
      <c r="J54" s="1">
        <v>8.98</v>
      </c>
      <c r="K54" s="1">
        <v>70</v>
      </c>
      <c r="L54" s="1">
        <v>25</v>
      </c>
      <c r="M54" s="1">
        <v>25</v>
      </c>
      <c r="N54" s="1">
        <v>0</v>
      </c>
      <c r="O54" s="1" t="s">
        <v>53</v>
      </c>
      <c r="P54" s="1">
        <v>40</v>
      </c>
      <c r="Q54" s="1" t="s">
        <v>27</v>
      </c>
      <c r="R54" s="1">
        <v>110</v>
      </c>
      <c r="S54" s="1">
        <v>0.5</v>
      </c>
      <c r="T54" s="1">
        <v>0.75</v>
      </c>
      <c r="U54" s="1">
        <v>1.1000000000000001</v>
      </c>
      <c r="V54" s="1">
        <v>0.75</v>
      </c>
      <c r="W54" s="1"/>
      <c r="X54" s="1"/>
      <c r="Y54" s="1"/>
      <c r="Z54" s="3">
        <f>_xlfn.IFNA(VLOOKUP(D54,附件!$B$19:$C$21,2,FALSE)+附件!$C$23,0)+S54+J54*((200/(附件!$C$25+100))^0.5)</f>
        <v>9.48</v>
      </c>
      <c r="AA54" s="3">
        <f>G54*H54/Z54*R54/100</f>
        <v>38.291139240506325</v>
      </c>
      <c r="AB54">
        <f>G54*H54*R54/100</f>
        <v>363</v>
      </c>
      <c r="AC54">
        <f>$AA54*T54</f>
        <v>28.718354430379744</v>
      </c>
      <c r="AD54">
        <f>$AA54*U54</f>
        <v>42.120253164556964</v>
      </c>
      <c r="AE54">
        <f>$AA54*V54</f>
        <v>28.718354430379744</v>
      </c>
    </row>
    <row r="55" spans="1:31" ht="23.25" customHeight="1" x14ac:dyDescent="0.2">
      <c r="A55" s="22" t="s">
        <v>1484</v>
      </c>
      <c r="B55" s="1" t="s">
        <v>1484</v>
      </c>
      <c r="C55" s="1" t="s">
        <v>1481</v>
      </c>
      <c r="D55" s="1" t="s">
        <v>1480</v>
      </c>
      <c r="E55" s="1">
        <v>11</v>
      </c>
      <c r="F55" s="1">
        <v>60</v>
      </c>
      <c r="G55" s="1">
        <v>156</v>
      </c>
      <c r="H55" s="1">
        <v>3</v>
      </c>
      <c r="I55" s="1">
        <v>30.02</v>
      </c>
      <c r="J55" s="1">
        <v>24.02</v>
      </c>
      <c r="K55" s="1">
        <v>80</v>
      </c>
      <c r="L55" s="1">
        <v>0</v>
      </c>
      <c r="M55" s="1">
        <v>25</v>
      </c>
      <c r="N55" s="1">
        <v>0</v>
      </c>
      <c r="O55" s="1" t="s">
        <v>53</v>
      </c>
      <c r="P55" s="1">
        <v>50</v>
      </c>
      <c r="Q55" s="1" t="s">
        <v>19</v>
      </c>
      <c r="R55" s="1">
        <v>105</v>
      </c>
      <c r="S55" s="1">
        <v>0</v>
      </c>
      <c r="T55" s="1">
        <v>1.4</v>
      </c>
      <c r="U55" s="1">
        <v>1.1000000000000001</v>
      </c>
      <c r="V55" s="1">
        <v>0.9</v>
      </c>
      <c r="W55" s="1"/>
      <c r="X55" s="1"/>
      <c r="Y55" s="1"/>
      <c r="Z55" s="3">
        <f>_xlfn.IFNA(VLOOKUP(D55,附件!$B$19:$C$21,2,FALSE)+附件!$C$23,0)+S55+J55*((200/(附件!$C$25+100))^0.5)</f>
        <v>24.02</v>
      </c>
      <c r="AA55" s="3">
        <f>G55*H55/Z55*R55/100</f>
        <v>20.457951706910904</v>
      </c>
      <c r="AB55">
        <f>G55*H55*R55/100</f>
        <v>491.4</v>
      </c>
      <c r="AC55">
        <f>$AA55*T55</f>
        <v>28.641132389675263</v>
      </c>
      <c r="AD55">
        <f>$AA55*U55</f>
        <v>22.503746877601998</v>
      </c>
      <c r="AE55">
        <f>$AA55*V55</f>
        <v>18.412156536219815</v>
      </c>
    </row>
    <row r="56" spans="1:31" ht="23.25" customHeight="1" x14ac:dyDescent="0.2">
      <c r="A56" s="22" t="s">
        <v>134</v>
      </c>
      <c r="B56" s="1" t="s">
        <v>134</v>
      </c>
      <c r="C56" s="1" t="s">
        <v>1483</v>
      </c>
      <c r="D56" s="1" t="s">
        <v>1491</v>
      </c>
      <c r="E56" s="1">
        <v>13</v>
      </c>
      <c r="F56" s="1">
        <v>30</v>
      </c>
      <c r="G56" s="1">
        <v>50</v>
      </c>
      <c r="H56" s="1">
        <v>6</v>
      </c>
      <c r="I56" s="1">
        <v>9.98</v>
      </c>
      <c r="J56" s="1">
        <v>7.65</v>
      </c>
      <c r="K56" s="1">
        <v>50</v>
      </c>
      <c r="L56" s="1">
        <v>15</v>
      </c>
      <c r="M56" s="1">
        <v>45</v>
      </c>
      <c r="N56" s="1">
        <v>0</v>
      </c>
      <c r="O56" s="1" t="s">
        <v>18</v>
      </c>
      <c r="P56" s="1">
        <v>40</v>
      </c>
      <c r="Q56" s="1" t="s">
        <v>27</v>
      </c>
      <c r="R56" s="1">
        <v>110</v>
      </c>
      <c r="S56" s="1">
        <v>1</v>
      </c>
      <c r="T56" s="1">
        <v>0.75</v>
      </c>
      <c r="U56" s="1">
        <v>1.1000000000000001</v>
      </c>
      <c r="V56" s="1">
        <v>0.75</v>
      </c>
      <c r="W56" s="1"/>
      <c r="X56" s="1"/>
      <c r="Y56" s="1"/>
      <c r="Z56" s="3">
        <f>_xlfn.IFNA(VLOOKUP(D56,附件!$B$19:$C$21,2,FALSE)+附件!$C$23,0)+S56+J56*((200/(附件!$C$25+100))^0.5)</f>
        <v>8.65</v>
      </c>
      <c r="AA56" s="3">
        <f>G56*H56/Z56*R56/100</f>
        <v>38.150289017341038</v>
      </c>
      <c r="AB56">
        <f>G56*H56*R56/100</f>
        <v>330</v>
      </c>
      <c r="AC56">
        <f>$AA56*T56</f>
        <v>28.612716763005778</v>
      </c>
      <c r="AD56">
        <f>$AA56*U56</f>
        <v>41.965317919075147</v>
      </c>
      <c r="AE56">
        <f>$AA56*V56</f>
        <v>28.612716763005778</v>
      </c>
    </row>
    <row r="57" spans="1:31" ht="23.25" customHeight="1" x14ac:dyDescent="0.2">
      <c r="A57" s="22" t="s">
        <v>131</v>
      </c>
      <c r="B57" s="1" t="s">
        <v>131</v>
      </c>
      <c r="C57" s="1" t="s">
        <v>1481</v>
      </c>
      <c r="D57" s="1" t="s">
        <v>1485</v>
      </c>
      <c r="E57" s="1">
        <v>11</v>
      </c>
      <c r="F57" s="1">
        <v>10</v>
      </c>
      <c r="G57" s="1">
        <v>22</v>
      </c>
      <c r="H57" s="1">
        <v>4</v>
      </c>
      <c r="I57" s="1">
        <v>3.9</v>
      </c>
      <c r="J57" s="1">
        <v>3.39</v>
      </c>
      <c r="K57" s="1">
        <v>55</v>
      </c>
      <c r="L57" s="1">
        <v>28</v>
      </c>
      <c r="M57" s="1">
        <v>25</v>
      </c>
      <c r="N57" s="1">
        <v>0</v>
      </c>
      <c r="O57" s="1" t="s">
        <v>18</v>
      </c>
      <c r="P57" s="1">
        <v>120</v>
      </c>
      <c r="Q57" s="1" t="s">
        <v>27</v>
      </c>
      <c r="R57" s="1">
        <v>110</v>
      </c>
      <c r="S57" s="1">
        <v>0</v>
      </c>
      <c r="T57" s="1">
        <v>1</v>
      </c>
      <c r="U57" s="1">
        <v>0.8</v>
      </c>
      <c r="V57" s="1">
        <v>0.6</v>
      </c>
      <c r="W57" s="1"/>
      <c r="X57" s="1"/>
      <c r="Y57" s="1"/>
      <c r="Z57" s="3">
        <f>_xlfn.IFNA(VLOOKUP(D57,附件!$B$19:$C$21,2,FALSE)+附件!$C$23,0)+S57+J57*((200/(附件!$C$25+100))^0.5)</f>
        <v>3.39</v>
      </c>
      <c r="AA57" s="3">
        <f>G57*H57/Z57*R57/100</f>
        <v>28.554572271386434</v>
      </c>
      <c r="AB57">
        <f>G57*H57*R57/100</f>
        <v>96.8</v>
      </c>
      <c r="AC57">
        <f>$AA57*T57</f>
        <v>28.554572271386434</v>
      </c>
      <c r="AD57">
        <f>$AA57*U57</f>
        <v>22.843657817109147</v>
      </c>
      <c r="AE57">
        <f>$AA57*V57</f>
        <v>17.13274336283186</v>
      </c>
    </row>
    <row r="58" spans="1:31" ht="23.25" customHeight="1" x14ac:dyDescent="0.2">
      <c r="A58" s="22" t="s">
        <v>124</v>
      </c>
      <c r="B58" s="1" t="s">
        <v>124</v>
      </c>
      <c r="C58" s="1" t="s">
        <v>1481</v>
      </c>
      <c r="D58" s="1" t="s">
        <v>1477</v>
      </c>
      <c r="E58" s="1">
        <v>11</v>
      </c>
      <c r="F58" s="1">
        <v>5</v>
      </c>
      <c r="G58" s="1">
        <v>11</v>
      </c>
      <c r="H58" s="1">
        <v>4</v>
      </c>
      <c r="I58" s="1">
        <v>2.02</v>
      </c>
      <c r="J58" s="1">
        <v>1.5</v>
      </c>
      <c r="K58" s="1">
        <v>50</v>
      </c>
      <c r="L58" s="1">
        <v>0</v>
      </c>
      <c r="M58" s="1">
        <v>15</v>
      </c>
      <c r="N58" s="1">
        <v>10</v>
      </c>
      <c r="O58" s="1" t="s">
        <v>18</v>
      </c>
      <c r="P58" s="1">
        <v>360</v>
      </c>
      <c r="Q58" s="1" t="s">
        <v>27</v>
      </c>
      <c r="R58" s="1">
        <v>115</v>
      </c>
      <c r="S58" s="1">
        <v>0.1</v>
      </c>
      <c r="T58" s="1">
        <v>0.9</v>
      </c>
      <c r="U58" s="1">
        <v>0.7</v>
      </c>
      <c r="V58" s="1">
        <v>0.4</v>
      </c>
      <c r="W58" s="1"/>
      <c r="X58" s="1"/>
      <c r="Y58" s="1"/>
      <c r="Z58" s="3">
        <f>_xlfn.IFNA(VLOOKUP(D58,附件!$B$19:$C$21,2,FALSE)+附件!$C$23,0)+S58+J58*((200/(附件!$C$25+100))^0.5)</f>
        <v>1.6</v>
      </c>
      <c r="AA58" s="3">
        <f>G58*H58/Z58*R58/100</f>
        <v>31.625</v>
      </c>
      <c r="AB58">
        <f>G58*H58*R58/100</f>
        <v>50.6</v>
      </c>
      <c r="AC58">
        <f>$AA58*T58</f>
        <v>28.462500000000002</v>
      </c>
      <c r="AD58">
        <f>$AA58*U58</f>
        <v>22.137499999999999</v>
      </c>
      <c r="AE58">
        <f>$AA58*V58</f>
        <v>12.65</v>
      </c>
    </row>
    <row r="59" spans="1:31" ht="23.25" customHeight="1" x14ac:dyDescent="0.2">
      <c r="A59" s="22" t="s">
        <v>144</v>
      </c>
      <c r="B59" s="1" t="s">
        <v>144</v>
      </c>
      <c r="C59" s="1" t="s">
        <v>1481</v>
      </c>
      <c r="D59" s="1" t="s">
        <v>1485</v>
      </c>
      <c r="E59" s="1">
        <v>11</v>
      </c>
      <c r="F59" s="1">
        <v>9</v>
      </c>
      <c r="G59" s="1">
        <v>21</v>
      </c>
      <c r="H59" s="1">
        <v>4</v>
      </c>
      <c r="I59" s="1">
        <v>3.35</v>
      </c>
      <c r="J59" s="1">
        <v>3</v>
      </c>
      <c r="K59" s="1">
        <v>55</v>
      </c>
      <c r="L59" s="1">
        <v>0</v>
      </c>
      <c r="M59" s="1">
        <v>25</v>
      </c>
      <c r="N59" s="1">
        <v>0</v>
      </c>
      <c r="O59" s="1" t="s">
        <v>18</v>
      </c>
      <c r="P59" s="1">
        <v>120</v>
      </c>
      <c r="Q59" s="1" t="s">
        <v>27</v>
      </c>
      <c r="R59" s="1">
        <v>105</v>
      </c>
      <c r="S59" s="1">
        <v>0.1</v>
      </c>
      <c r="T59" s="1">
        <v>1</v>
      </c>
      <c r="U59" s="1">
        <v>0.8</v>
      </c>
      <c r="V59" s="1">
        <v>0.6</v>
      </c>
      <c r="W59" s="1"/>
      <c r="X59" s="1"/>
      <c r="Y59" s="1"/>
      <c r="Z59" s="3">
        <f>_xlfn.IFNA(VLOOKUP(D59,附件!$B$19:$C$21,2,FALSE)+附件!$C$23,0)+S59+J59*((200/(附件!$C$25+100))^0.5)</f>
        <v>3.1</v>
      </c>
      <c r="AA59" s="3">
        <f>G59*H59/Z59*R59/100</f>
        <v>28.451612903225808</v>
      </c>
      <c r="AB59">
        <f>G59*H59*R59/100</f>
        <v>88.2</v>
      </c>
      <c r="AC59">
        <f>$AA59*T59</f>
        <v>28.451612903225808</v>
      </c>
      <c r="AD59">
        <f>$AA59*U59</f>
        <v>22.761290322580649</v>
      </c>
      <c r="AE59">
        <f>$AA59*V59</f>
        <v>17.070967741935483</v>
      </c>
    </row>
    <row r="60" spans="1:31" ht="23.25" customHeight="1" x14ac:dyDescent="0.2">
      <c r="A60" s="22" t="s">
        <v>1494</v>
      </c>
      <c r="B60" s="1" t="s">
        <v>1494</v>
      </c>
      <c r="C60" s="1" t="s">
        <v>1481</v>
      </c>
      <c r="D60" s="1" t="s">
        <v>1485</v>
      </c>
      <c r="E60" s="1">
        <v>11</v>
      </c>
      <c r="F60" s="1">
        <v>9</v>
      </c>
      <c r="G60" s="1">
        <v>21</v>
      </c>
      <c r="H60" s="1">
        <v>4</v>
      </c>
      <c r="I60" s="1">
        <v>3.46</v>
      </c>
      <c r="J60" s="1">
        <v>3.11</v>
      </c>
      <c r="K60" s="1">
        <v>55</v>
      </c>
      <c r="L60" s="1">
        <v>30</v>
      </c>
      <c r="M60" s="1">
        <v>25</v>
      </c>
      <c r="N60" s="1">
        <v>0</v>
      </c>
      <c r="O60" s="1" t="s">
        <v>18</v>
      </c>
      <c r="P60" s="1">
        <v>120</v>
      </c>
      <c r="Q60" s="1" t="s">
        <v>27</v>
      </c>
      <c r="R60" s="1">
        <v>105</v>
      </c>
      <c r="S60" s="1">
        <v>0</v>
      </c>
      <c r="T60" s="1">
        <v>1</v>
      </c>
      <c r="U60" s="1">
        <v>0.8</v>
      </c>
      <c r="V60" s="1">
        <v>0.6</v>
      </c>
      <c r="W60" s="1"/>
      <c r="X60" s="1"/>
      <c r="Y60" s="1"/>
      <c r="Z60" s="3">
        <f>_xlfn.IFNA(VLOOKUP(D60,附件!$B$19:$C$21,2,FALSE)+附件!$C$23,0)+S60+J60*((200/(附件!$C$25+100))^0.5)</f>
        <v>3.11</v>
      </c>
      <c r="AA60" s="3">
        <f>G60*H60/Z60*R60/100</f>
        <v>28.360128617363344</v>
      </c>
      <c r="AB60">
        <f>G60*H60*R60/100</f>
        <v>88.2</v>
      </c>
      <c r="AC60">
        <f>$AA60*T60</f>
        <v>28.360128617363344</v>
      </c>
      <c r="AD60">
        <f>$AA60*U60</f>
        <v>22.688102893890676</v>
      </c>
      <c r="AE60">
        <f>$AA60*V60</f>
        <v>17.016077170418004</v>
      </c>
    </row>
    <row r="61" spans="1:31" ht="23.25" customHeight="1" x14ac:dyDescent="0.2">
      <c r="A61" s="22" t="s">
        <v>120</v>
      </c>
      <c r="B61" s="1" t="s">
        <v>120</v>
      </c>
      <c r="C61" s="1" t="s">
        <v>1476</v>
      </c>
      <c r="D61" s="1" t="s">
        <v>1477</v>
      </c>
      <c r="E61" s="1">
        <v>6</v>
      </c>
      <c r="F61" s="1">
        <v>4</v>
      </c>
      <c r="G61" s="1">
        <v>10</v>
      </c>
      <c r="H61" s="1">
        <v>4</v>
      </c>
      <c r="I61" s="1">
        <v>1.84</v>
      </c>
      <c r="J61" s="1">
        <v>1.68</v>
      </c>
      <c r="K61" s="1">
        <v>50</v>
      </c>
      <c r="L61" s="1">
        <v>0</v>
      </c>
      <c r="M61" s="1">
        <v>12</v>
      </c>
      <c r="N61" s="1">
        <v>0</v>
      </c>
      <c r="O61" s="1" t="s">
        <v>18</v>
      </c>
      <c r="P61" s="1">
        <v>360</v>
      </c>
      <c r="Q61" s="1" t="s">
        <v>64</v>
      </c>
      <c r="R61" s="1">
        <v>125</v>
      </c>
      <c r="S61" s="1">
        <v>0.1</v>
      </c>
      <c r="T61" s="1">
        <v>1</v>
      </c>
      <c r="U61" s="1">
        <v>0.5</v>
      </c>
      <c r="V61" s="1">
        <v>0.2</v>
      </c>
      <c r="W61" s="1"/>
      <c r="X61" s="1"/>
      <c r="Y61" s="1"/>
      <c r="Z61" s="3">
        <f>_xlfn.IFNA(VLOOKUP(D61,附件!$B$19:$C$21,2,FALSE)+附件!$C$23,0)+S61+J61*((200/(附件!$C$25+100))^0.5)</f>
        <v>1.78</v>
      </c>
      <c r="AA61" s="3">
        <f>G61*H61/Z61*R61/100</f>
        <v>28.089887640449437</v>
      </c>
      <c r="AB61">
        <f>G61*H61*R61/100</f>
        <v>50</v>
      </c>
      <c r="AC61">
        <f>$AA61*T61</f>
        <v>28.089887640449437</v>
      </c>
      <c r="AD61">
        <f>$AA61*U61</f>
        <v>14.044943820224718</v>
      </c>
      <c r="AE61">
        <f>$AA61*V61</f>
        <v>5.617977528089888</v>
      </c>
    </row>
    <row r="62" spans="1:31" ht="23.25" customHeight="1" x14ac:dyDescent="0.2">
      <c r="A62" s="22" t="s">
        <v>1518</v>
      </c>
      <c r="B62" s="1" t="s">
        <v>1518</v>
      </c>
      <c r="C62" s="1" t="s">
        <v>1481</v>
      </c>
      <c r="D62" s="1" t="s">
        <v>1477</v>
      </c>
      <c r="E62" s="1">
        <v>11</v>
      </c>
      <c r="F62" s="1">
        <v>4</v>
      </c>
      <c r="G62" s="1">
        <v>9</v>
      </c>
      <c r="H62" s="1">
        <v>4</v>
      </c>
      <c r="I62" s="1">
        <v>1.64</v>
      </c>
      <c r="J62" s="1">
        <v>1.32</v>
      </c>
      <c r="K62" s="1">
        <v>50</v>
      </c>
      <c r="L62" s="1">
        <v>0</v>
      </c>
      <c r="M62" s="1">
        <v>10</v>
      </c>
      <c r="N62" s="1">
        <v>15</v>
      </c>
      <c r="O62" s="1" t="s">
        <v>18</v>
      </c>
      <c r="P62" s="1">
        <v>360</v>
      </c>
      <c r="Q62" s="1" t="s">
        <v>64</v>
      </c>
      <c r="R62" s="1">
        <v>110</v>
      </c>
      <c r="S62" s="1">
        <v>0.1</v>
      </c>
      <c r="T62" s="1">
        <v>1</v>
      </c>
      <c r="U62" s="1">
        <v>0.5</v>
      </c>
      <c r="V62" s="1">
        <v>0.2</v>
      </c>
      <c r="W62" s="1"/>
      <c r="X62" s="1"/>
      <c r="Y62" s="1"/>
      <c r="Z62" s="3">
        <f>_xlfn.IFNA(VLOOKUP(D62,附件!$B$19:$C$21,2,FALSE)+附件!$C$23,0)+S62+J62*((200/(附件!$C$25+100))^0.5)</f>
        <v>1.4200000000000002</v>
      </c>
      <c r="AA62" s="3">
        <f>G62*H62/Z62*R62/100</f>
        <v>27.887323943661968</v>
      </c>
      <c r="AB62">
        <f>G62*H62*R62/100</f>
        <v>39.6</v>
      </c>
      <c r="AC62">
        <f>$AA62*T62</f>
        <v>27.887323943661968</v>
      </c>
      <c r="AD62">
        <f>$AA62*U62</f>
        <v>13.943661971830984</v>
      </c>
      <c r="AE62">
        <f>$AA62*V62</f>
        <v>5.577464788732394</v>
      </c>
    </row>
    <row r="63" spans="1:31" ht="23.25" customHeight="1" x14ac:dyDescent="0.2">
      <c r="A63" s="22" t="s">
        <v>33</v>
      </c>
      <c r="B63" s="1" t="s">
        <v>33</v>
      </c>
      <c r="C63" s="1" t="s">
        <v>1476</v>
      </c>
      <c r="D63" s="1" t="s">
        <v>1477</v>
      </c>
      <c r="E63" s="1">
        <v>6</v>
      </c>
      <c r="F63" s="1">
        <v>5</v>
      </c>
      <c r="G63" s="1">
        <v>12</v>
      </c>
      <c r="H63" s="1">
        <v>3</v>
      </c>
      <c r="I63" s="1">
        <v>1.66</v>
      </c>
      <c r="J63" s="1">
        <v>1.42</v>
      </c>
      <c r="K63" s="1">
        <v>50</v>
      </c>
      <c r="L63" s="1">
        <v>22</v>
      </c>
      <c r="M63" s="1">
        <v>12</v>
      </c>
      <c r="N63" s="1">
        <v>0</v>
      </c>
      <c r="O63" s="1" t="s">
        <v>18</v>
      </c>
      <c r="P63" s="1">
        <v>360</v>
      </c>
      <c r="Q63" s="1" t="s">
        <v>64</v>
      </c>
      <c r="R63" s="1">
        <v>125</v>
      </c>
      <c r="S63" s="1">
        <v>0.24</v>
      </c>
      <c r="T63" s="1">
        <v>1</v>
      </c>
      <c r="U63" s="1">
        <v>0.5</v>
      </c>
      <c r="V63" s="1">
        <v>0.2</v>
      </c>
      <c r="W63" s="1"/>
      <c r="X63" s="1"/>
      <c r="Y63" s="1"/>
      <c r="Z63" s="3">
        <f>_xlfn.IFNA(VLOOKUP(D63,附件!$B$19:$C$21,2,FALSE)+附件!$C$23,0)+S63+J63*((200/(附件!$C$25+100))^0.5)</f>
        <v>1.66</v>
      </c>
      <c r="AA63" s="3">
        <f>G63*H63/Z63*R63/100</f>
        <v>27.108433734939759</v>
      </c>
      <c r="AB63">
        <f>G63*H63*R63/100</f>
        <v>45</v>
      </c>
      <c r="AC63">
        <f>$AA63*T63</f>
        <v>27.108433734939759</v>
      </c>
      <c r="AD63">
        <f>$AA63*U63</f>
        <v>13.554216867469879</v>
      </c>
      <c r="AE63">
        <f>$AA63*V63</f>
        <v>5.4216867469879517</v>
      </c>
    </row>
    <row r="64" spans="1:31" ht="23.25" customHeight="1" x14ac:dyDescent="0.2">
      <c r="A64" s="22" t="s">
        <v>164</v>
      </c>
      <c r="B64" s="1" t="s">
        <v>164</v>
      </c>
      <c r="C64" s="1" t="s">
        <v>1483</v>
      </c>
      <c r="D64" s="1" t="s">
        <v>1480</v>
      </c>
      <c r="E64" s="1">
        <v>13</v>
      </c>
      <c r="F64" s="1">
        <v>56</v>
      </c>
      <c r="G64" s="1">
        <v>142</v>
      </c>
      <c r="H64" s="1">
        <v>3</v>
      </c>
      <c r="I64" s="1">
        <v>28.73</v>
      </c>
      <c r="J64" s="1">
        <v>23.14</v>
      </c>
      <c r="K64" s="1">
        <v>80</v>
      </c>
      <c r="L64" s="1">
        <v>0</v>
      </c>
      <c r="M64" s="1">
        <v>45</v>
      </c>
      <c r="N64" s="1">
        <v>0</v>
      </c>
      <c r="O64" s="1" t="s">
        <v>53</v>
      </c>
      <c r="P64" s="1">
        <v>50</v>
      </c>
      <c r="Q64" s="1" t="s">
        <v>19</v>
      </c>
      <c r="R64" s="1">
        <v>105</v>
      </c>
      <c r="S64" s="1">
        <v>0</v>
      </c>
      <c r="T64" s="1">
        <v>1.4</v>
      </c>
      <c r="U64" s="1">
        <v>1.1000000000000001</v>
      </c>
      <c r="V64" s="1">
        <v>0.9</v>
      </c>
      <c r="W64" s="1"/>
      <c r="X64" s="1"/>
      <c r="Y64" s="1"/>
      <c r="Z64" s="3">
        <f>_xlfn.IFNA(VLOOKUP(D64,附件!$B$19:$C$21,2,FALSE)+附件!$C$23,0)+S64+J64*((200/(附件!$C$25+100))^0.5)</f>
        <v>23.14</v>
      </c>
      <c r="AA64" s="3">
        <f>G64*H64/Z64*R64/100</f>
        <v>19.330164217804668</v>
      </c>
      <c r="AB64">
        <f>G64*H64*R64/100</f>
        <v>447.3</v>
      </c>
      <c r="AC64">
        <f>$AA64*T64</f>
        <v>27.062229904926536</v>
      </c>
      <c r="AD64">
        <f>$AA64*U64</f>
        <v>21.263180639585137</v>
      </c>
      <c r="AE64">
        <f>$AA64*V64</f>
        <v>17.397147796024203</v>
      </c>
    </row>
    <row r="65" spans="1:31" ht="23.25" customHeight="1" x14ac:dyDescent="0.2">
      <c r="A65" s="22" t="s">
        <v>133</v>
      </c>
      <c r="B65" s="1" t="s">
        <v>133</v>
      </c>
      <c r="C65" s="1" t="s">
        <v>1481</v>
      </c>
      <c r="D65" s="1" t="s">
        <v>1491</v>
      </c>
      <c r="E65" s="1">
        <v>10</v>
      </c>
      <c r="F65" s="1">
        <v>27</v>
      </c>
      <c r="G65" s="1">
        <v>47</v>
      </c>
      <c r="H65" s="1">
        <v>6</v>
      </c>
      <c r="I65" s="1">
        <v>10.11</v>
      </c>
      <c r="J65" s="1">
        <v>7.78</v>
      </c>
      <c r="K65" s="1">
        <v>50</v>
      </c>
      <c r="L65" s="1">
        <v>15</v>
      </c>
      <c r="M65" s="1">
        <v>25</v>
      </c>
      <c r="N65" s="1">
        <v>0</v>
      </c>
      <c r="O65" s="1" t="s">
        <v>18</v>
      </c>
      <c r="P65" s="1">
        <v>40</v>
      </c>
      <c r="Q65" s="1" t="s">
        <v>27</v>
      </c>
      <c r="R65" s="1">
        <v>110</v>
      </c>
      <c r="S65" s="1">
        <v>1</v>
      </c>
      <c r="T65" s="1">
        <v>0.75</v>
      </c>
      <c r="U65" s="1">
        <v>1.1000000000000001</v>
      </c>
      <c r="V65" s="1">
        <v>0.75</v>
      </c>
      <c r="W65" s="1"/>
      <c r="X65" s="1"/>
      <c r="Y65" s="1"/>
      <c r="Z65" s="3">
        <f>_xlfn.IFNA(VLOOKUP(D65,附件!$B$19:$C$21,2,FALSE)+附件!$C$23,0)+S65+J65*((200/(附件!$C$25+100))^0.5)</f>
        <v>8.7800000000000011</v>
      </c>
      <c r="AA65" s="3">
        <f>G65*H65/Z65*R65/100</f>
        <v>35.33029612756264</v>
      </c>
      <c r="AB65">
        <f>G65*H65*R65/100</f>
        <v>310.2</v>
      </c>
      <c r="AC65">
        <f>$AA65*T65</f>
        <v>26.497722095671982</v>
      </c>
      <c r="AD65">
        <f>$AA65*U65</f>
        <v>38.863325740318906</v>
      </c>
      <c r="AE65">
        <f>$AA65*V65</f>
        <v>26.497722095671982</v>
      </c>
    </row>
    <row r="66" spans="1:31" ht="23.25" customHeight="1" x14ac:dyDescent="0.2">
      <c r="A66" s="22" t="s">
        <v>865</v>
      </c>
      <c r="B66" s="1" t="s">
        <v>865</v>
      </c>
      <c r="C66" s="1" t="s">
        <v>1476</v>
      </c>
      <c r="D66" s="1" t="s">
        <v>1477</v>
      </c>
      <c r="E66" s="1">
        <v>7</v>
      </c>
      <c r="F66" s="1">
        <v>4</v>
      </c>
      <c r="G66" s="1">
        <v>9</v>
      </c>
      <c r="H66" s="1">
        <v>4</v>
      </c>
      <c r="I66" s="1">
        <v>1.77</v>
      </c>
      <c r="J66" s="1">
        <v>1.61</v>
      </c>
      <c r="K66" s="1">
        <v>50</v>
      </c>
      <c r="L66" s="1">
        <v>0</v>
      </c>
      <c r="M66" s="1">
        <v>12</v>
      </c>
      <c r="N66" s="1">
        <v>0</v>
      </c>
      <c r="O66" s="1" t="s">
        <v>18</v>
      </c>
      <c r="P66" s="1">
        <v>360</v>
      </c>
      <c r="Q66" s="1" t="s">
        <v>19</v>
      </c>
      <c r="R66" s="1">
        <v>110</v>
      </c>
      <c r="S66" s="1">
        <v>0.2</v>
      </c>
      <c r="T66" s="1">
        <v>1.2</v>
      </c>
      <c r="U66" s="1">
        <v>0.6</v>
      </c>
      <c r="V66" s="1">
        <v>0.6</v>
      </c>
      <c r="W66" s="1"/>
      <c r="X66" s="1"/>
      <c r="Y66" s="1"/>
      <c r="Z66" s="3">
        <f>_xlfn.IFNA(VLOOKUP(D66,附件!$B$19:$C$21,2,FALSE)+附件!$C$23,0)+S66+J66*((200/(附件!$C$25+100))^0.5)</f>
        <v>1.81</v>
      </c>
      <c r="AA66" s="3">
        <f>G66*H66/Z66*R66/100</f>
        <v>21.878453038674035</v>
      </c>
      <c r="AB66">
        <f>G66*H66*R66/100</f>
        <v>39.6</v>
      </c>
      <c r="AC66">
        <f>$AA66*T66</f>
        <v>26.254143646408842</v>
      </c>
      <c r="AD66">
        <f>$AA66*U66</f>
        <v>13.127071823204421</v>
      </c>
      <c r="AE66">
        <f>$AA66*V66</f>
        <v>13.127071823204421</v>
      </c>
    </row>
    <row r="67" spans="1:31" ht="23.25" customHeight="1" x14ac:dyDescent="0.2">
      <c r="A67" s="22" t="s">
        <v>83</v>
      </c>
      <c r="B67" s="1" t="s">
        <v>83</v>
      </c>
      <c r="C67" s="1" t="s">
        <v>1476</v>
      </c>
      <c r="D67" s="1" t="s">
        <v>1491</v>
      </c>
      <c r="E67" s="1">
        <v>6</v>
      </c>
      <c r="F67" s="1">
        <v>26</v>
      </c>
      <c r="G67" s="1">
        <v>40</v>
      </c>
      <c r="H67" s="1">
        <v>3</v>
      </c>
      <c r="I67" s="1">
        <v>7.37</v>
      </c>
      <c r="J67" s="1">
        <v>6.48</v>
      </c>
      <c r="K67" s="1">
        <v>50</v>
      </c>
      <c r="L67" s="1">
        <v>30</v>
      </c>
      <c r="M67" s="1">
        <v>12</v>
      </c>
      <c r="N67" s="1">
        <v>0</v>
      </c>
      <c r="O67" s="1" t="s">
        <v>18</v>
      </c>
      <c r="P67" s="1">
        <v>40</v>
      </c>
      <c r="Q67" s="1" t="s">
        <v>19</v>
      </c>
      <c r="R67" s="1">
        <v>105</v>
      </c>
      <c r="S67" s="1">
        <v>0</v>
      </c>
      <c r="T67" s="1">
        <v>1.35</v>
      </c>
      <c r="U67" s="1">
        <v>0.95</v>
      </c>
      <c r="V67" s="1">
        <v>0.7</v>
      </c>
      <c r="W67" s="1"/>
      <c r="X67" s="1"/>
      <c r="Y67" s="1"/>
      <c r="Z67" s="3">
        <f>_xlfn.IFNA(VLOOKUP(D67,附件!$B$19:$C$21,2,FALSE)+附件!$C$23,0)+S67+J67*((200/(附件!$C$25+100))^0.5)</f>
        <v>6.48</v>
      </c>
      <c r="AA67" s="3">
        <f>G67*H67/Z67*R67/100</f>
        <v>19.444444444444446</v>
      </c>
      <c r="AB67">
        <f>G67*H67*R67/100</f>
        <v>126</v>
      </c>
      <c r="AC67">
        <f>$AA67*T67</f>
        <v>26.250000000000004</v>
      </c>
      <c r="AD67">
        <f>$AA67*U67</f>
        <v>18.472222222222225</v>
      </c>
      <c r="AE67">
        <f>$AA67*V67</f>
        <v>13.611111111111112</v>
      </c>
    </row>
    <row r="68" spans="1:31" ht="23.25" customHeight="1" x14ac:dyDescent="0.2">
      <c r="A68" s="22" t="s">
        <v>75</v>
      </c>
      <c r="B68" s="1" t="s">
        <v>75</v>
      </c>
      <c r="C68" s="1" t="s">
        <v>1476</v>
      </c>
      <c r="D68" s="1" t="s">
        <v>1485</v>
      </c>
      <c r="E68" s="1">
        <v>7</v>
      </c>
      <c r="F68" s="1">
        <v>9</v>
      </c>
      <c r="G68" s="1">
        <v>15</v>
      </c>
      <c r="H68" s="1">
        <v>6</v>
      </c>
      <c r="I68" s="1">
        <v>3.84</v>
      </c>
      <c r="J68" s="1">
        <v>3.6</v>
      </c>
      <c r="K68" s="1">
        <v>55</v>
      </c>
      <c r="L68" s="1">
        <v>42</v>
      </c>
      <c r="M68" s="1">
        <v>12</v>
      </c>
      <c r="N68" s="1">
        <v>0</v>
      </c>
      <c r="O68" s="1" t="s">
        <v>43</v>
      </c>
      <c r="P68" s="1">
        <v>120</v>
      </c>
      <c r="Q68" s="1" t="s">
        <v>27</v>
      </c>
      <c r="R68" s="1">
        <v>105</v>
      </c>
      <c r="S68" s="1">
        <v>0</v>
      </c>
      <c r="T68" s="1">
        <v>1</v>
      </c>
      <c r="U68" s="1">
        <v>0.8</v>
      </c>
      <c r="V68" s="1">
        <v>0.6</v>
      </c>
      <c r="W68" s="1"/>
      <c r="X68" s="1"/>
      <c r="Y68" s="1"/>
      <c r="Z68" s="3">
        <f>_xlfn.IFNA(VLOOKUP(D68,附件!$B$19:$C$21,2,FALSE)+附件!$C$23,0)+S68+J68*((200/(附件!$C$25+100))^0.5)</f>
        <v>3.6</v>
      </c>
      <c r="AA68" s="3">
        <f>G68*H68/Z68*R68/100</f>
        <v>26.25</v>
      </c>
      <c r="AB68">
        <f>G68*H68*R68/100</f>
        <v>94.5</v>
      </c>
      <c r="AC68">
        <f>$AA68*T68</f>
        <v>26.25</v>
      </c>
      <c r="AD68">
        <f>$AA68*U68</f>
        <v>21</v>
      </c>
      <c r="AE68">
        <f>$AA68*V68</f>
        <v>15.75</v>
      </c>
    </row>
    <row r="69" spans="1:31" ht="23.25" customHeight="1" x14ac:dyDescent="0.2">
      <c r="A69" s="22" t="s">
        <v>154</v>
      </c>
      <c r="B69" s="1" t="s">
        <v>154</v>
      </c>
      <c r="C69" s="1" t="s">
        <v>1483</v>
      </c>
      <c r="D69" s="1" t="s">
        <v>1480</v>
      </c>
      <c r="E69" s="1">
        <v>13</v>
      </c>
      <c r="F69" s="1">
        <v>48</v>
      </c>
      <c r="G69" s="1">
        <v>120</v>
      </c>
      <c r="H69" s="1">
        <v>4</v>
      </c>
      <c r="I69" s="1">
        <v>32.26</v>
      </c>
      <c r="J69" s="1">
        <v>25.8</v>
      </c>
      <c r="K69" s="1">
        <v>80</v>
      </c>
      <c r="L69" s="1">
        <v>0</v>
      </c>
      <c r="M69" s="1">
        <v>45</v>
      </c>
      <c r="N69" s="1">
        <v>0</v>
      </c>
      <c r="O69" s="1" t="s">
        <v>53</v>
      </c>
      <c r="P69" s="1">
        <v>50</v>
      </c>
      <c r="Q69" s="1" t="s">
        <v>19</v>
      </c>
      <c r="R69" s="1">
        <v>100</v>
      </c>
      <c r="S69" s="1">
        <v>0.15</v>
      </c>
      <c r="T69" s="1">
        <v>1.4</v>
      </c>
      <c r="U69" s="1">
        <v>1.1000000000000001</v>
      </c>
      <c r="V69" s="1">
        <v>0.9</v>
      </c>
      <c r="W69" s="1"/>
      <c r="X69" s="1"/>
      <c r="Y69" s="1"/>
      <c r="Z69" s="3">
        <f>_xlfn.IFNA(VLOOKUP(D69,附件!$B$19:$C$21,2,FALSE)+附件!$C$23,0)+S69+J69*((200/(附件!$C$25+100))^0.5)</f>
        <v>25.95</v>
      </c>
      <c r="AA69" s="3">
        <f>G69*H69/Z69*R69/100</f>
        <v>18.497109826589597</v>
      </c>
      <c r="AB69">
        <f>G69*H69*R69/100</f>
        <v>480</v>
      </c>
      <c r="AC69">
        <f>$AA69*T69</f>
        <v>25.895953757225435</v>
      </c>
      <c r="AD69">
        <f>$AA69*U69</f>
        <v>20.346820809248559</v>
      </c>
      <c r="AE69">
        <f>$AA69*V69</f>
        <v>16.647398843930638</v>
      </c>
    </row>
    <row r="70" spans="1:31" ht="23.25" customHeight="1" x14ac:dyDescent="0.2">
      <c r="A70" s="22" t="s">
        <v>50</v>
      </c>
      <c r="B70" s="1" t="s">
        <v>50</v>
      </c>
      <c r="C70" s="1" t="s">
        <v>1476</v>
      </c>
      <c r="D70" s="1" t="s">
        <v>1491</v>
      </c>
      <c r="E70" s="1">
        <v>6</v>
      </c>
      <c r="F70" s="1">
        <v>24</v>
      </c>
      <c r="G70" s="1">
        <v>36</v>
      </c>
      <c r="H70" s="1">
        <v>4</v>
      </c>
      <c r="I70" s="1">
        <v>8.99</v>
      </c>
      <c r="J70" s="1">
        <v>7.77</v>
      </c>
      <c r="K70" s="1">
        <v>50</v>
      </c>
      <c r="L70" s="1">
        <v>12</v>
      </c>
      <c r="M70" s="1">
        <v>12</v>
      </c>
      <c r="N70" s="1">
        <v>0</v>
      </c>
      <c r="O70" s="1" t="s">
        <v>18</v>
      </c>
      <c r="P70" s="1">
        <v>40</v>
      </c>
      <c r="Q70" s="1" t="s">
        <v>19</v>
      </c>
      <c r="R70" s="1">
        <v>110</v>
      </c>
      <c r="S70" s="1">
        <v>0.5</v>
      </c>
      <c r="T70" s="1">
        <v>1.35</v>
      </c>
      <c r="U70" s="1">
        <v>0.95</v>
      </c>
      <c r="V70" s="1">
        <v>0.7</v>
      </c>
      <c r="W70" s="1"/>
      <c r="X70" s="1"/>
      <c r="Y70" s="1"/>
      <c r="Z70" s="3">
        <f>_xlfn.IFNA(VLOOKUP(D70,附件!$B$19:$C$21,2,FALSE)+附件!$C$23,0)+S70+J70*((200/(附件!$C$25+100))^0.5)</f>
        <v>8.27</v>
      </c>
      <c r="AA70" s="3">
        <f>G70*H70/Z70*R70/100</f>
        <v>19.153567110036278</v>
      </c>
      <c r="AB70">
        <f>G70*H70*R70/100</f>
        <v>158.4</v>
      </c>
      <c r="AC70">
        <f>$AA70*T70</f>
        <v>25.857315598548976</v>
      </c>
      <c r="AD70">
        <f>$AA70*U70</f>
        <v>18.195888754534462</v>
      </c>
      <c r="AE70">
        <f>$AA70*V70</f>
        <v>13.407496977025394</v>
      </c>
    </row>
    <row r="71" spans="1:31" ht="23.25" customHeight="1" x14ac:dyDescent="0.2">
      <c r="A71" s="22" t="s">
        <v>1309</v>
      </c>
      <c r="B71" s="1" t="s">
        <v>1309</v>
      </c>
      <c r="C71" s="1" t="s">
        <v>1476</v>
      </c>
      <c r="D71" s="1" t="s">
        <v>1491</v>
      </c>
      <c r="E71" s="1">
        <v>6</v>
      </c>
      <c r="F71" s="1">
        <v>25</v>
      </c>
      <c r="G71" s="1">
        <v>37</v>
      </c>
      <c r="H71" s="1">
        <v>4</v>
      </c>
      <c r="I71" s="1">
        <v>9.66</v>
      </c>
      <c r="J71" s="1">
        <v>8.06</v>
      </c>
      <c r="K71" s="1">
        <v>55</v>
      </c>
      <c r="L71" s="1">
        <v>12</v>
      </c>
      <c r="M71" s="1">
        <v>12</v>
      </c>
      <c r="N71" s="1">
        <v>0</v>
      </c>
      <c r="O71" s="1" t="s">
        <v>18</v>
      </c>
      <c r="P71" s="1">
        <v>38</v>
      </c>
      <c r="Q71" s="1" t="s">
        <v>19</v>
      </c>
      <c r="R71" s="1">
        <v>110</v>
      </c>
      <c r="S71" s="1">
        <v>0.5</v>
      </c>
      <c r="T71" s="1">
        <v>1.35</v>
      </c>
      <c r="U71" s="1">
        <v>0.95</v>
      </c>
      <c r="V71" s="1">
        <v>0.7</v>
      </c>
      <c r="W71" s="1"/>
      <c r="X71" s="1"/>
      <c r="Y71" s="1"/>
      <c r="Z71" s="3">
        <f>_xlfn.IFNA(VLOOKUP(D71,附件!$B$19:$C$21,2,FALSE)+附件!$C$23,0)+S71+J71*((200/(附件!$C$25+100))^0.5)</f>
        <v>8.56</v>
      </c>
      <c r="AA71" s="3">
        <f>G71*H71/Z71*R71/100</f>
        <v>19.018691588785046</v>
      </c>
      <c r="AB71">
        <f>G71*H71*R71/100</f>
        <v>162.80000000000001</v>
      </c>
      <c r="AC71">
        <f>$AA71*T71</f>
        <v>25.675233644859812</v>
      </c>
      <c r="AD71">
        <f>$AA71*U71</f>
        <v>18.067757009345794</v>
      </c>
      <c r="AE71">
        <f>$AA71*V71</f>
        <v>13.313084112149532</v>
      </c>
    </row>
    <row r="72" spans="1:31" ht="23.25" customHeight="1" x14ac:dyDescent="0.2">
      <c r="A72" s="22" t="s">
        <v>81</v>
      </c>
      <c r="B72" s="1" t="s">
        <v>81</v>
      </c>
      <c r="C72" s="1" t="s">
        <v>1476</v>
      </c>
      <c r="D72" s="1" t="s">
        <v>1491</v>
      </c>
      <c r="E72" s="1">
        <v>7</v>
      </c>
      <c r="F72" s="1">
        <v>26</v>
      </c>
      <c r="G72" s="1">
        <v>39</v>
      </c>
      <c r="H72" s="1">
        <v>3</v>
      </c>
      <c r="I72" s="1">
        <v>7.37</v>
      </c>
      <c r="J72" s="1">
        <v>6.48</v>
      </c>
      <c r="K72" s="1">
        <v>50</v>
      </c>
      <c r="L72" s="1">
        <v>30</v>
      </c>
      <c r="M72" s="1">
        <v>12</v>
      </c>
      <c r="N72" s="1">
        <v>0</v>
      </c>
      <c r="O72" s="1" t="s">
        <v>18</v>
      </c>
      <c r="P72" s="1">
        <v>40</v>
      </c>
      <c r="Q72" s="1" t="s">
        <v>19</v>
      </c>
      <c r="R72" s="1">
        <v>105</v>
      </c>
      <c r="S72" s="1">
        <v>0</v>
      </c>
      <c r="T72" s="1">
        <v>1.35</v>
      </c>
      <c r="U72" s="1">
        <v>0.95</v>
      </c>
      <c r="V72" s="1">
        <v>0.7</v>
      </c>
      <c r="W72" s="1"/>
      <c r="X72" s="1"/>
      <c r="Y72" s="1"/>
      <c r="Z72" s="3">
        <f>_xlfn.IFNA(VLOOKUP(D72,附件!$B$19:$C$21,2,FALSE)+附件!$C$23,0)+S72+J72*((200/(附件!$C$25+100))^0.5)</f>
        <v>6.48</v>
      </c>
      <c r="AA72" s="3">
        <f>G72*H72/Z72*R72/100</f>
        <v>18.958333333333329</v>
      </c>
      <c r="AB72">
        <f>G72*H72*R72/100</f>
        <v>122.85</v>
      </c>
      <c r="AC72">
        <f>$AA72*T72</f>
        <v>25.593749999999996</v>
      </c>
      <c r="AD72">
        <f>$AA72*U72</f>
        <v>18.010416666666661</v>
      </c>
      <c r="AE72">
        <f>$AA72*V72</f>
        <v>13.270833333333329</v>
      </c>
    </row>
    <row r="73" spans="1:31" ht="23.25" customHeight="1" x14ac:dyDescent="0.2">
      <c r="A73" s="22" t="s">
        <v>1502</v>
      </c>
      <c r="B73" s="1" t="s">
        <v>1502</v>
      </c>
      <c r="C73" s="1" t="s">
        <v>1476</v>
      </c>
      <c r="D73" s="1" t="s">
        <v>1477</v>
      </c>
      <c r="E73" s="1">
        <v>6</v>
      </c>
      <c r="F73" s="1">
        <v>6</v>
      </c>
      <c r="G73" s="1">
        <v>11</v>
      </c>
      <c r="H73" s="1">
        <v>4</v>
      </c>
      <c r="I73" s="1">
        <v>2.27</v>
      </c>
      <c r="J73" s="1">
        <v>1.96</v>
      </c>
      <c r="K73" s="1">
        <v>50</v>
      </c>
      <c r="L73" s="1">
        <v>0</v>
      </c>
      <c r="M73" s="1">
        <v>12</v>
      </c>
      <c r="N73" s="1">
        <v>0</v>
      </c>
      <c r="O73" s="1" t="s">
        <v>18</v>
      </c>
      <c r="P73" s="1">
        <v>360</v>
      </c>
      <c r="Q73" s="1" t="s">
        <v>64</v>
      </c>
      <c r="R73" s="1">
        <v>125</v>
      </c>
      <c r="S73" s="1">
        <v>0.2</v>
      </c>
      <c r="T73" s="1">
        <v>1</v>
      </c>
      <c r="U73" s="1">
        <v>0.5</v>
      </c>
      <c r="V73" s="1">
        <v>0.2</v>
      </c>
      <c r="W73" s="1"/>
      <c r="X73" s="1"/>
      <c r="Y73" s="1"/>
      <c r="Z73" s="3">
        <f>_xlfn.IFNA(VLOOKUP(D73,附件!$B$19:$C$21,2,FALSE)+附件!$C$23,0)+S73+J73*((200/(附件!$C$25+100))^0.5)</f>
        <v>2.16</v>
      </c>
      <c r="AA73" s="3">
        <f>G73*H73/Z73*R73/100</f>
        <v>25.462962962962962</v>
      </c>
      <c r="AB73">
        <f>G73*H73*R73/100</f>
        <v>55</v>
      </c>
      <c r="AC73">
        <f>$AA73*T73</f>
        <v>25.462962962962962</v>
      </c>
      <c r="AD73">
        <f>$AA73*U73</f>
        <v>12.731481481481481</v>
      </c>
      <c r="AE73">
        <f>$AA73*V73</f>
        <v>5.0925925925925926</v>
      </c>
    </row>
    <row r="74" spans="1:31" ht="23.25" customHeight="1" x14ac:dyDescent="0.2">
      <c r="A74" s="22" t="s">
        <v>1499</v>
      </c>
      <c r="B74" s="1" t="s">
        <v>1499</v>
      </c>
      <c r="C74" s="1" t="s">
        <v>1481</v>
      </c>
      <c r="D74" s="1" t="s">
        <v>1477</v>
      </c>
      <c r="E74" s="1">
        <v>11</v>
      </c>
      <c r="F74" s="1">
        <v>4</v>
      </c>
      <c r="G74" s="1">
        <v>10</v>
      </c>
      <c r="H74" s="1">
        <v>4</v>
      </c>
      <c r="I74" s="1">
        <v>2.27</v>
      </c>
      <c r="J74" s="1">
        <v>1.67</v>
      </c>
      <c r="K74" s="1">
        <v>50</v>
      </c>
      <c r="L74" s="1">
        <v>0</v>
      </c>
      <c r="M74" s="1">
        <v>25</v>
      </c>
      <c r="N74" s="1">
        <v>0</v>
      </c>
      <c r="O74" s="1" t="s">
        <v>18</v>
      </c>
      <c r="P74" s="1">
        <v>360</v>
      </c>
      <c r="Q74" s="1" t="s">
        <v>27</v>
      </c>
      <c r="R74" s="1">
        <v>125</v>
      </c>
      <c r="S74" s="1">
        <v>0.1</v>
      </c>
      <c r="T74" s="1">
        <v>0.9</v>
      </c>
      <c r="U74" s="1">
        <v>0.7</v>
      </c>
      <c r="V74" s="1">
        <v>0.4</v>
      </c>
      <c r="W74" s="1"/>
      <c r="X74" s="1"/>
      <c r="Y74" s="1"/>
      <c r="Z74" s="3">
        <f>_xlfn.IFNA(VLOOKUP(D74,附件!$B$19:$C$21,2,FALSE)+附件!$C$23,0)+S74+J74*((200/(附件!$C$25+100))^0.5)</f>
        <v>1.77</v>
      </c>
      <c r="AA74" s="3">
        <f>G74*H74/Z74*R74/100</f>
        <v>28.248587570621471</v>
      </c>
      <c r="AB74">
        <f>G74*H74*R74/100</f>
        <v>50</v>
      </c>
      <c r="AC74">
        <f>$AA74*T74</f>
        <v>25.423728813559325</v>
      </c>
      <c r="AD74">
        <f>$AA74*U74</f>
        <v>19.774011299435028</v>
      </c>
      <c r="AE74">
        <f>$AA74*V74</f>
        <v>11.299435028248588</v>
      </c>
    </row>
    <row r="75" spans="1:31" ht="23.25" customHeight="1" x14ac:dyDescent="0.2">
      <c r="A75" s="22" t="s">
        <v>1542</v>
      </c>
      <c r="B75" s="1" t="s">
        <v>1542</v>
      </c>
      <c r="C75" s="1" t="s">
        <v>1476</v>
      </c>
      <c r="D75" s="1" t="s">
        <v>1485</v>
      </c>
      <c r="E75" s="1">
        <v>7</v>
      </c>
      <c r="F75" s="1">
        <v>10</v>
      </c>
      <c r="G75" s="1">
        <v>16</v>
      </c>
      <c r="H75" s="1">
        <v>4</v>
      </c>
      <c r="I75" s="1">
        <v>3.18</v>
      </c>
      <c r="J75" s="1">
        <v>2.78</v>
      </c>
      <c r="K75" s="1">
        <v>55</v>
      </c>
      <c r="L75" s="1">
        <v>28</v>
      </c>
      <c r="M75" s="1">
        <v>12</v>
      </c>
      <c r="N75" s="1">
        <v>0</v>
      </c>
      <c r="O75" s="1" t="s">
        <v>18</v>
      </c>
      <c r="P75" s="1">
        <v>120</v>
      </c>
      <c r="Q75" s="1" t="s">
        <v>64</v>
      </c>
      <c r="R75" s="1">
        <v>110</v>
      </c>
      <c r="S75" s="1">
        <v>0</v>
      </c>
      <c r="T75" s="1">
        <v>1</v>
      </c>
      <c r="U75" s="1">
        <v>0.75</v>
      </c>
      <c r="V75" s="1">
        <v>0.4</v>
      </c>
      <c r="W75" s="1"/>
      <c r="X75" s="1"/>
      <c r="Y75" s="1"/>
      <c r="Z75" s="3">
        <f>_xlfn.IFNA(VLOOKUP(D75,附件!$B$19:$C$21,2,FALSE)+附件!$C$23,0)+S75+J75*((200/(附件!$C$25+100))^0.5)</f>
        <v>2.78</v>
      </c>
      <c r="AA75" s="3">
        <f>G75*H75/Z75*R75/100</f>
        <v>25.323741007194247</v>
      </c>
      <c r="AB75">
        <f>G75*H75*R75/100</f>
        <v>70.400000000000006</v>
      </c>
      <c r="AC75">
        <f>$AA75*T75</f>
        <v>25.323741007194247</v>
      </c>
      <c r="AD75">
        <f>$AA75*U75</f>
        <v>18.992805755395686</v>
      </c>
      <c r="AE75">
        <f>$AA75*V75</f>
        <v>10.129496402877699</v>
      </c>
    </row>
    <row r="76" spans="1:31" ht="23.25" customHeight="1" x14ac:dyDescent="0.2">
      <c r="A76" s="22" t="s">
        <v>857</v>
      </c>
      <c r="B76" s="1" t="s">
        <v>857</v>
      </c>
      <c r="C76" s="1" t="s">
        <v>1483</v>
      </c>
      <c r="D76" s="1" t="s">
        <v>1491</v>
      </c>
      <c r="E76" s="1">
        <v>13</v>
      </c>
      <c r="F76" s="1">
        <v>36</v>
      </c>
      <c r="G76" s="1">
        <v>43</v>
      </c>
      <c r="H76" s="1">
        <v>8</v>
      </c>
      <c r="I76" s="1">
        <v>10.91</v>
      </c>
      <c r="J76" s="1">
        <v>8.58</v>
      </c>
      <c r="K76" s="1">
        <v>50</v>
      </c>
      <c r="L76" s="1">
        <v>16</v>
      </c>
      <c r="M76" s="1">
        <v>45</v>
      </c>
      <c r="N76" s="1">
        <v>0</v>
      </c>
      <c r="O76" s="1" t="s">
        <v>18</v>
      </c>
      <c r="P76" s="1">
        <v>39</v>
      </c>
      <c r="Q76" s="1" t="s">
        <v>858</v>
      </c>
      <c r="R76" s="1">
        <v>110</v>
      </c>
      <c r="S76" s="1">
        <v>1.2</v>
      </c>
      <c r="T76" s="1">
        <v>0.65</v>
      </c>
      <c r="U76" s="1">
        <v>1.25</v>
      </c>
      <c r="V76" s="1">
        <v>0.65</v>
      </c>
      <c r="W76" s="1"/>
      <c r="X76" s="1"/>
      <c r="Y76" s="1"/>
      <c r="Z76" s="3">
        <f>_xlfn.IFNA(VLOOKUP(D76,附件!$B$19:$C$21,2,FALSE)+附件!$C$23,0)+S76+J76*((200/(附件!$C$25+100))^0.5)</f>
        <v>9.7799999999999994</v>
      </c>
      <c r="AA76" s="3">
        <f>G76*H76/Z76*R76/100</f>
        <v>38.691206543967283</v>
      </c>
      <c r="AB76">
        <f>G76*H76*R76/100</f>
        <v>378.4</v>
      </c>
      <c r="AC76">
        <f>$AA76*T76</f>
        <v>25.149284253578735</v>
      </c>
      <c r="AD76">
        <f>$AA76*U76</f>
        <v>48.3640081799591</v>
      </c>
      <c r="AE76">
        <f>$AA76*V76</f>
        <v>25.149284253578735</v>
      </c>
    </row>
    <row r="77" spans="1:31" ht="23.25" customHeight="1" x14ac:dyDescent="0.2">
      <c r="A77" s="22" t="s">
        <v>1513</v>
      </c>
      <c r="B77" s="1" t="s">
        <v>1513</v>
      </c>
      <c r="C77" s="1" t="s">
        <v>1478</v>
      </c>
      <c r="D77" s="1" t="s">
        <v>1485</v>
      </c>
      <c r="E77" s="1">
        <v>3</v>
      </c>
      <c r="F77" s="1">
        <v>18</v>
      </c>
      <c r="G77" s="1">
        <v>24</v>
      </c>
      <c r="H77" s="1">
        <v>3</v>
      </c>
      <c r="I77" s="1">
        <v>2.97</v>
      </c>
      <c r="J77" s="1">
        <v>2.77</v>
      </c>
      <c r="K77" s="1">
        <v>55</v>
      </c>
      <c r="L77" s="1">
        <v>40</v>
      </c>
      <c r="M77" s="1">
        <v>5</v>
      </c>
      <c r="N77" s="1">
        <v>0</v>
      </c>
      <c r="O77" s="1" t="s">
        <v>100</v>
      </c>
      <c r="P77" s="1">
        <v>120</v>
      </c>
      <c r="Q77" s="1" t="s">
        <v>64</v>
      </c>
      <c r="R77" s="1">
        <v>110</v>
      </c>
      <c r="S77" s="1">
        <v>0.4</v>
      </c>
      <c r="T77" s="1">
        <v>1</v>
      </c>
      <c r="U77" s="1">
        <v>0.75</v>
      </c>
      <c r="V77" s="1">
        <v>0.4</v>
      </c>
      <c r="W77" s="1"/>
      <c r="X77" s="1"/>
      <c r="Y77" s="1"/>
      <c r="Z77" s="3">
        <f>_xlfn.IFNA(VLOOKUP(D77,附件!$B$19:$C$21,2,FALSE)+附件!$C$23,0)+S77+J77*((200/(附件!$C$25+100))^0.5)</f>
        <v>3.17</v>
      </c>
      <c r="AA77" s="3">
        <f>G77*H77/Z77*R77/100</f>
        <v>24.98422712933754</v>
      </c>
      <c r="AB77">
        <f>G77*H77*R77/100</f>
        <v>79.2</v>
      </c>
      <c r="AC77">
        <f>$AA77*T77</f>
        <v>24.98422712933754</v>
      </c>
      <c r="AD77">
        <f>$AA77*U77</f>
        <v>18.738170347003155</v>
      </c>
      <c r="AE77">
        <f>$AA77*V77</f>
        <v>9.9936908517350176</v>
      </c>
    </row>
    <row r="78" spans="1:31" ht="23.25" customHeight="1" x14ac:dyDescent="0.2">
      <c r="A78" s="22" t="s">
        <v>165</v>
      </c>
      <c r="B78" s="1" t="s">
        <v>165</v>
      </c>
      <c r="C78" s="1" t="s">
        <v>1483</v>
      </c>
      <c r="D78" s="1" t="s">
        <v>1480</v>
      </c>
      <c r="E78" s="1">
        <v>13</v>
      </c>
      <c r="F78" s="1">
        <v>58</v>
      </c>
      <c r="G78" s="1">
        <v>154</v>
      </c>
      <c r="H78" s="1">
        <v>2</v>
      </c>
      <c r="I78" s="1">
        <v>24.41</v>
      </c>
      <c r="J78" s="1">
        <v>19.420000000000002</v>
      </c>
      <c r="K78" s="1">
        <v>80</v>
      </c>
      <c r="L78" s="1">
        <v>0</v>
      </c>
      <c r="M78" s="1">
        <v>45</v>
      </c>
      <c r="N78" s="1">
        <v>0</v>
      </c>
      <c r="O78" s="1" t="s">
        <v>53</v>
      </c>
      <c r="P78" s="1">
        <v>50</v>
      </c>
      <c r="Q78" s="1" t="s">
        <v>19</v>
      </c>
      <c r="R78" s="1">
        <v>110</v>
      </c>
      <c r="S78" s="1">
        <v>0</v>
      </c>
      <c r="T78" s="1">
        <v>1.4</v>
      </c>
      <c r="U78" s="1">
        <v>1.1000000000000001</v>
      </c>
      <c r="V78" s="1">
        <v>0.9</v>
      </c>
      <c r="W78" s="1"/>
      <c r="X78" s="1"/>
      <c r="Y78" s="1"/>
      <c r="Z78" s="3">
        <f>_xlfn.IFNA(VLOOKUP(D78,附件!$B$19:$C$21,2,FALSE)+附件!$C$23,0)+S78+J78*((200/(附件!$C$25+100))^0.5)</f>
        <v>19.420000000000002</v>
      </c>
      <c r="AA78" s="3">
        <f>G78*H78/Z78*R78/100</f>
        <v>17.44593202883625</v>
      </c>
      <c r="AB78">
        <f>G78*H78*R78/100</f>
        <v>338.8</v>
      </c>
      <c r="AC78">
        <f>$AA78*T78</f>
        <v>24.424304840370748</v>
      </c>
      <c r="AD78">
        <f>$AA78*U78</f>
        <v>19.190525231719878</v>
      </c>
      <c r="AE78">
        <f>$AA78*V78</f>
        <v>15.701338825952625</v>
      </c>
    </row>
    <row r="79" spans="1:31" ht="23.25" customHeight="1" x14ac:dyDescent="0.2">
      <c r="A79" s="22" t="s">
        <v>1311</v>
      </c>
      <c r="B79" s="1" t="s">
        <v>1311</v>
      </c>
      <c r="C79" s="1" t="s">
        <v>1476</v>
      </c>
      <c r="D79" s="1" t="s">
        <v>1485</v>
      </c>
      <c r="E79" s="1">
        <v>7</v>
      </c>
      <c r="F79" s="1">
        <v>10</v>
      </c>
      <c r="G79" s="1">
        <v>19</v>
      </c>
      <c r="H79" s="1">
        <v>4</v>
      </c>
      <c r="I79" s="1">
        <v>3.72</v>
      </c>
      <c r="J79" s="1">
        <v>3.33</v>
      </c>
      <c r="K79" s="1">
        <v>55</v>
      </c>
      <c r="L79" s="1">
        <v>0</v>
      </c>
      <c r="M79" s="1">
        <v>12</v>
      </c>
      <c r="N79" s="1">
        <v>0</v>
      </c>
      <c r="O79" s="1" t="s">
        <v>18</v>
      </c>
      <c r="P79" s="1">
        <v>120</v>
      </c>
      <c r="Q79" s="1" t="s">
        <v>64</v>
      </c>
      <c r="R79" s="1">
        <v>110</v>
      </c>
      <c r="S79" s="1">
        <v>0.1</v>
      </c>
      <c r="T79" s="1">
        <v>1</v>
      </c>
      <c r="U79" s="1">
        <v>0.75</v>
      </c>
      <c r="V79" s="1">
        <v>0.4</v>
      </c>
      <c r="W79" s="1"/>
      <c r="X79" s="1"/>
      <c r="Y79" s="1"/>
      <c r="Z79" s="3">
        <f>_xlfn.IFNA(VLOOKUP(D79,附件!$B$19:$C$21,2,FALSE)+附件!$C$23,0)+S79+J79*((200/(附件!$C$25+100))^0.5)</f>
        <v>3.43</v>
      </c>
      <c r="AA79" s="3">
        <f>G79*H79/Z79*R79/100</f>
        <v>24.373177842565596</v>
      </c>
      <c r="AB79">
        <f>G79*H79*R79/100</f>
        <v>83.6</v>
      </c>
      <c r="AC79">
        <f>$AA79*T79</f>
        <v>24.373177842565596</v>
      </c>
      <c r="AD79">
        <f>$AA79*U79</f>
        <v>18.279883381924197</v>
      </c>
      <c r="AE79">
        <f>$AA79*V79</f>
        <v>9.7492711370262395</v>
      </c>
    </row>
    <row r="80" spans="1:31" ht="23.25" customHeight="1" x14ac:dyDescent="0.2">
      <c r="A80" s="22" t="s">
        <v>108</v>
      </c>
      <c r="B80" s="1" t="s">
        <v>108</v>
      </c>
      <c r="C80" s="1" t="s">
        <v>1476</v>
      </c>
      <c r="D80" s="1" t="s">
        <v>1477</v>
      </c>
      <c r="E80" s="1">
        <v>6</v>
      </c>
      <c r="F80" s="1">
        <v>4</v>
      </c>
      <c r="G80" s="1">
        <v>7</v>
      </c>
      <c r="H80" s="1">
        <v>4</v>
      </c>
      <c r="I80" s="1">
        <v>1.33</v>
      </c>
      <c r="J80" s="1">
        <v>1.17</v>
      </c>
      <c r="K80" s="1">
        <v>50</v>
      </c>
      <c r="L80" s="1">
        <v>0</v>
      </c>
      <c r="M80" s="1">
        <v>4</v>
      </c>
      <c r="N80" s="1">
        <v>8</v>
      </c>
      <c r="O80" s="1" t="s">
        <v>18</v>
      </c>
      <c r="P80" s="1">
        <v>360</v>
      </c>
      <c r="Q80" s="1" t="s">
        <v>64</v>
      </c>
      <c r="R80" s="1">
        <v>110</v>
      </c>
      <c r="S80" s="1">
        <v>0.1</v>
      </c>
      <c r="T80" s="1">
        <v>1</v>
      </c>
      <c r="U80" s="1">
        <v>0.5</v>
      </c>
      <c r="V80" s="1">
        <v>0.2</v>
      </c>
      <c r="W80" s="1"/>
      <c r="X80" s="1"/>
      <c r="Y80" s="1"/>
      <c r="Z80" s="3">
        <f>_xlfn.IFNA(VLOOKUP(D80,附件!$B$19:$C$21,2,FALSE)+附件!$C$23,0)+S80+J80*((200/(附件!$C$25+100))^0.5)</f>
        <v>1.27</v>
      </c>
      <c r="AA80" s="3">
        <f>G80*H80/Z80*R80/100</f>
        <v>24.251968503937011</v>
      </c>
      <c r="AB80">
        <f>G80*H80*R80/100</f>
        <v>30.8</v>
      </c>
      <c r="AC80">
        <f>$AA80*T80</f>
        <v>24.251968503937011</v>
      </c>
      <c r="AD80">
        <f>$AA80*U80</f>
        <v>12.125984251968505</v>
      </c>
      <c r="AE80">
        <f>$AA80*V80</f>
        <v>4.8503937007874027</v>
      </c>
    </row>
    <row r="81" spans="1:31" ht="23.25" customHeight="1" x14ac:dyDescent="0.2">
      <c r="A81" s="22" t="s">
        <v>1357</v>
      </c>
      <c r="B81" s="1" t="s">
        <v>1357</v>
      </c>
      <c r="C81" s="1" t="s">
        <v>1483</v>
      </c>
      <c r="D81" s="1" t="s">
        <v>1480</v>
      </c>
      <c r="E81" s="1">
        <v>13</v>
      </c>
      <c r="F81" s="1">
        <v>57</v>
      </c>
      <c r="G81" s="1">
        <v>105</v>
      </c>
      <c r="H81" s="1">
        <v>3</v>
      </c>
      <c r="I81" s="1">
        <v>24.18</v>
      </c>
      <c r="J81" s="1">
        <v>18.2</v>
      </c>
      <c r="K81" s="1">
        <v>80</v>
      </c>
      <c r="L81" s="1">
        <v>0</v>
      </c>
      <c r="M81" s="1">
        <v>45</v>
      </c>
      <c r="N81" s="1">
        <v>0</v>
      </c>
      <c r="O81" s="1" t="s">
        <v>53</v>
      </c>
      <c r="P81" s="1">
        <v>50</v>
      </c>
      <c r="Q81" s="1" t="s">
        <v>19</v>
      </c>
      <c r="R81" s="1">
        <v>100</v>
      </c>
      <c r="S81" s="1">
        <v>0</v>
      </c>
      <c r="T81" s="1">
        <v>1.4</v>
      </c>
      <c r="U81" s="1">
        <v>1.1000000000000001</v>
      </c>
      <c r="V81" s="1">
        <v>0.9</v>
      </c>
      <c r="W81" s="1"/>
      <c r="X81" s="1"/>
      <c r="Y81" s="1"/>
      <c r="Z81" s="3">
        <f>_xlfn.IFNA(VLOOKUP(D81,附件!$B$19:$C$21,2,FALSE)+附件!$C$23,0)+S81+J81*((200/(附件!$C$25+100))^0.5)</f>
        <v>18.2</v>
      </c>
      <c r="AA81" s="3">
        <f>G81*H81/Z81*R81/100</f>
        <v>17.307692307692307</v>
      </c>
      <c r="AB81">
        <f>G81*H81*R81/100</f>
        <v>315</v>
      </c>
      <c r="AC81">
        <f>$AA81*T81</f>
        <v>24.230769230769226</v>
      </c>
      <c r="AD81">
        <f>$AA81*U81</f>
        <v>19.03846153846154</v>
      </c>
      <c r="AE81">
        <f>$AA81*V81</f>
        <v>15.576923076923077</v>
      </c>
    </row>
    <row r="82" spans="1:31" ht="23.25" customHeight="1" x14ac:dyDescent="0.2">
      <c r="A82" s="22" t="s">
        <v>1511</v>
      </c>
      <c r="B82" s="1" t="s">
        <v>1511</v>
      </c>
      <c r="C82" s="1" t="s">
        <v>1481</v>
      </c>
      <c r="D82" s="1" t="s">
        <v>1480</v>
      </c>
      <c r="E82" s="1">
        <v>11</v>
      </c>
      <c r="F82" s="1">
        <v>60</v>
      </c>
      <c r="G82" s="1">
        <v>156</v>
      </c>
      <c r="H82" s="1">
        <v>2</v>
      </c>
      <c r="I82" s="1">
        <v>24.97</v>
      </c>
      <c r="J82" s="1">
        <v>19.97</v>
      </c>
      <c r="K82" s="1">
        <v>80</v>
      </c>
      <c r="L82" s="1">
        <v>0</v>
      </c>
      <c r="M82" s="1">
        <v>25</v>
      </c>
      <c r="N82" s="1">
        <v>0</v>
      </c>
      <c r="O82" s="1" t="s">
        <v>53</v>
      </c>
      <c r="P82" s="1">
        <v>50</v>
      </c>
      <c r="Q82" s="1" t="s">
        <v>19</v>
      </c>
      <c r="R82" s="1">
        <v>110</v>
      </c>
      <c r="S82" s="1">
        <v>0</v>
      </c>
      <c r="T82" s="1">
        <v>1.4</v>
      </c>
      <c r="U82" s="1">
        <v>1.1000000000000001</v>
      </c>
      <c r="V82" s="1">
        <v>0.9</v>
      </c>
      <c r="W82" s="1"/>
      <c r="X82" s="1"/>
      <c r="Y82" s="1"/>
      <c r="Z82" s="3">
        <f>_xlfn.IFNA(VLOOKUP(D82,附件!$B$19:$C$21,2,FALSE)+附件!$C$23,0)+S82+J82*((200/(附件!$C$25+100))^0.5)</f>
        <v>19.97</v>
      </c>
      <c r="AA82" s="3">
        <f>G82*H82/Z82*R82/100</f>
        <v>17.185778668002005</v>
      </c>
      <c r="AB82">
        <f>G82*H82*R82/100</f>
        <v>343.2</v>
      </c>
      <c r="AC82">
        <f>$AA82*T82</f>
        <v>24.060090135202806</v>
      </c>
      <c r="AD82">
        <f>$AA82*U82</f>
        <v>18.904356534802208</v>
      </c>
      <c r="AE82">
        <f>$AA82*V82</f>
        <v>15.467200801201805</v>
      </c>
    </row>
    <row r="83" spans="1:31" ht="23.25" customHeight="1" x14ac:dyDescent="0.2">
      <c r="A83" s="22" t="s">
        <v>1323</v>
      </c>
      <c r="B83" s="1" t="s">
        <v>1323</v>
      </c>
      <c r="C83" s="1" t="s">
        <v>1476</v>
      </c>
      <c r="D83" s="1" t="s">
        <v>1485</v>
      </c>
      <c r="E83" s="1">
        <v>7</v>
      </c>
      <c r="F83" s="1">
        <v>10</v>
      </c>
      <c r="G83" s="1">
        <v>19</v>
      </c>
      <c r="H83" s="1">
        <v>4</v>
      </c>
      <c r="I83" s="1">
        <v>3.72</v>
      </c>
      <c r="J83" s="1">
        <v>3.33</v>
      </c>
      <c r="K83" s="1">
        <v>55</v>
      </c>
      <c r="L83" s="1">
        <v>15</v>
      </c>
      <c r="M83" s="1">
        <v>12</v>
      </c>
      <c r="N83" s="1">
        <v>0</v>
      </c>
      <c r="O83" s="1" t="s">
        <v>18</v>
      </c>
      <c r="P83" s="1">
        <v>120</v>
      </c>
      <c r="Q83" s="1" t="s">
        <v>64</v>
      </c>
      <c r="R83" s="1">
        <v>110</v>
      </c>
      <c r="S83" s="1">
        <v>0.15</v>
      </c>
      <c r="T83" s="1">
        <v>1</v>
      </c>
      <c r="U83" s="1">
        <v>0.75</v>
      </c>
      <c r="V83" s="1">
        <v>0.4</v>
      </c>
      <c r="W83" s="1"/>
      <c r="X83" s="1"/>
      <c r="Y83" s="1"/>
      <c r="Z83" s="3">
        <f>_xlfn.IFNA(VLOOKUP(D83,附件!$B$19:$C$21,2,FALSE)+附件!$C$23,0)+S83+J83*((200/(附件!$C$25+100))^0.5)</f>
        <v>3.48</v>
      </c>
      <c r="AA83" s="3">
        <f>G83*H83/Z83*R83/100</f>
        <v>24.022988505747126</v>
      </c>
      <c r="AB83">
        <f>G83*H83*R83/100</f>
        <v>83.6</v>
      </c>
      <c r="AC83">
        <f>$AA83*T83</f>
        <v>24.022988505747126</v>
      </c>
      <c r="AD83">
        <f>$AA83*U83</f>
        <v>18.017241379310345</v>
      </c>
      <c r="AE83">
        <f>$AA83*V83</f>
        <v>9.6091954022988517</v>
      </c>
    </row>
    <row r="84" spans="1:31" ht="23.25" customHeight="1" x14ac:dyDescent="0.2">
      <c r="A84" s="22" t="s">
        <v>1538</v>
      </c>
      <c r="B84" s="1" t="s">
        <v>1538</v>
      </c>
      <c r="C84" s="1" t="s">
        <v>1478</v>
      </c>
      <c r="D84" s="1" t="s">
        <v>1485</v>
      </c>
      <c r="E84" s="1">
        <v>3</v>
      </c>
      <c r="F84" s="1">
        <v>16</v>
      </c>
      <c r="G84" s="1">
        <v>22</v>
      </c>
      <c r="H84" s="1">
        <v>3</v>
      </c>
      <c r="I84" s="1">
        <v>2.83</v>
      </c>
      <c r="J84" s="1">
        <v>2.63</v>
      </c>
      <c r="K84" s="1">
        <v>55</v>
      </c>
      <c r="L84" s="1">
        <v>40</v>
      </c>
      <c r="M84" s="1">
        <v>5</v>
      </c>
      <c r="N84" s="1">
        <v>0</v>
      </c>
      <c r="O84" s="1" t="s">
        <v>100</v>
      </c>
      <c r="P84" s="1">
        <v>120</v>
      </c>
      <c r="Q84" s="1" t="s">
        <v>64</v>
      </c>
      <c r="R84" s="1">
        <v>110</v>
      </c>
      <c r="S84" s="1">
        <v>0.4</v>
      </c>
      <c r="T84" s="1">
        <v>1</v>
      </c>
      <c r="U84" s="1">
        <v>0.75</v>
      </c>
      <c r="V84" s="1">
        <v>0.4</v>
      </c>
      <c r="W84" s="1"/>
      <c r="X84" s="1"/>
      <c r="Y84" s="1"/>
      <c r="Z84" s="3">
        <f>_xlfn.IFNA(VLOOKUP(D84,附件!$B$19:$C$21,2,FALSE)+附件!$C$23,0)+S84+J84*((200/(附件!$C$25+100))^0.5)</f>
        <v>3.03</v>
      </c>
      <c r="AA84" s="3">
        <f>G84*H84/Z84*R84/100</f>
        <v>23.96039603960396</v>
      </c>
      <c r="AB84">
        <f>G84*H84*R84/100</f>
        <v>72.599999999999994</v>
      </c>
      <c r="AC84">
        <f>$AA84*T84</f>
        <v>23.96039603960396</v>
      </c>
      <c r="AD84">
        <f>$AA84*U84</f>
        <v>17.970297029702969</v>
      </c>
      <c r="AE84">
        <f>$AA84*V84</f>
        <v>9.5841584158415838</v>
      </c>
    </row>
    <row r="85" spans="1:31" ht="23.25" customHeight="1" x14ac:dyDescent="0.2">
      <c r="A85" s="22" t="s">
        <v>1508</v>
      </c>
      <c r="B85" s="1" t="s">
        <v>1508</v>
      </c>
      <c r="C85" s="1" t="s">
        <v>1481</v>
      </c>
      <c r="D85" s="1" t="s">
        <v>1480</v>
      </c>
      <c r="E85" s="1">
        <v>11</v>
      </c>
      <c r="F85" s="1">
        <v>58</v>
      </c>
      <c r="G85" s="1">
        <v>154</v>
      </c>
      <c r="H85" s="1">
        <v>2</v>
      </c>
      <c r="I85" s="1">
        <v>25.02</v>
      </c>
      <c r="J85" s="1">
        <v>20.02</v>
      </c>
      <c r="K85" s="1">
        <v>80</v>
      </c>
      <c r="L85" s="1">
        <v>0</v>
      </c>
      <c r="M85" s="1">
        <v>25</v>
      </c>
      <c r="N85" s="1">
        <v>0</v>
      </c>
      <c r="O85" s="1" t="s">
        <v>53</v>
      </c>
      <c r="P85" s="1">
        <v>50</v>
      </c>
      <c r="Q85" s="1" t="s">
        <v>19</v>
      </c>
      <c r="R85" s="1">
        <v>110</v>
      </c>
      <c r="S85" s="1">
        <v>0</v>
      </c>
      <c r="T85" s="1">
        <v>1.4</v>
      </c>
      <c r="U85" s="1">
        <v>1.1000000000000001</v>
      </c>
      <c r="V85" s="1">
        <v>0.9</v>
      </c>
      <c r="W85" s="1"/>
      <c r="X85" s="1"/>
      <c r="Y85" s="1"/>
      <c r="Z85" s="3">
        <f>_xlfn.IFNA(VLOOKUP(D85,附件!$B$19:$C$21,2,FALSE)+附件!$C$23,0)+S85+J85*((200/(附件!$C$25+100))^0.5)</f>
        <v>20.02</v>
      </c>
      <c r="AA85" s="3">
        <f>G85*H85/Z85*R85/100</f>
        <v>16.923076923076923</v>
      </c>
      <c r="AB85">
        <f>G85*H85*R85/100</f>
        <v>338.8</v>
      </c>
      <c r="AC85">
        <f>$AA85*T85</f>
        <v>23.69230769230769</v>
      </c>
      <c r="AD85">
        <f>$AA85*U85</f>
        <v>18.615384615384617</v>
      </c>
      <c r="AE85">
        <f>$AA85*V85</f>
        <v>15.230769230769232</v>
      </c>
    </row>
    <row r="86" spans="1:31" ht="23.25" customHeight="1" x14ac:dyDescent="0.2">
      <c r="A86" s="22" t="s">
        <v>112</v>
      </c>
      <c r="B86" s="1" t="s">
        <v>112</v>
      </c>
      <c r="C86" s="1" t="s">
        <v>1476</v>
      </c>
      <c r="D86" s="1" t="s">
        <v>1485</v>
      </c>
      <c r="E86" s="1">
        <v>7</v>
      </c>
      <c r="F86" s="1">
        <v>9</v>
      </c>
      <c r="G86" s="1">
        <v>15</v>
      </c>
      <c r="H86" s="1">
        <v>4</v>
      </c>
      <c r="I86" s="1">
        <v>3.19</v>
      </c>
      <c r="J86" s="1">
        <v>2.79</v>
      </c>
      <c r="K86" s="1">
        <v>55</v>
      </c>
      <c r="L86" s="1">
        <v>28</v>
      </c>
      <c r="M86" s="1">
        <v>12</v>
      </c>
      <c r="N86" s="1">
        <v>0</v>
      </c>
      <c r="O86" s="1" t="s">
        <v>18</v>
      </c>
      <c r="P86" s="1">
        <v>120</v>
      </c>
      <c r="Q86" s="1" t="s">
        <v>64</v>
      </c>
      <c r="R86" s="1">
        <v>110</v>
      </c>
      <c r="S86" s="1">
        <v>0</v>
      </c>
      <c r="T86" s="1">
        <v>1</v>
      </c>
      <c r="U86" s="1">
        <v>0.75</v>
      </c>
      <c r="V86" s="1">
        <v>0.4</v>
      </c>
      <c r="W86" s="1"/>
      <c r="X86" s="1"/>
      <c r="Y86" s="1"/>
      <c r="Z86" s="3">
        <f>_xlfn.IFNA(VLOOKUP(D86,附件!$B$19:$C$21,2,FALSE)+附件!$C$23,0)+S86+J86*((200/(附件!$C$25+100))^0.5)</f>
        <v>2.79</v>
      </c>
      <c r="AA86" s="3">
        <f>G86*H86/Z86*R86/100</f>
        <v>23.655913978494624</v>
      </c>
      <c r="AB86">
        <f>G86*H86*R86/100</f>
        <v>66</v>
      </c>
      <c r="AC86">
        <f>$AA86*T86</f>
        <v>23.655913978494624</v>
      </c>
      <c r="AD86">
        <f>$AA86*U86</f>
        <v>17.741935483870968</v>
      </c>
      <c r="AE86">
        <f>$AA86*V86</f>
        <v>9.4623655913978499</v>
      </c>
    </row>
    <row r="87" spans="1:31" ht="23.25" customHeight="1" x14ac:dyDescent="0.2">
      <c r="A87" s="22" t="s">
        <v>25</v>
      </c>
      <c r="B87" s="1" t="s">
        <v>25</v>
      </c>
      <c r="C87" s="1" t="s">
        <v>1476</v>
      </c>
      <c r="D87" s="1" t="s">
        <v>1477</v>
      </c>
      <c r="E87" s="1">
        <v>6</v>
      </c>
      <c r="F87" s="1">
        <v>4</v>
      </c>
      <c r="G87" s="1">
        <v>10</v>
      </c>
      <c r="H87" s="1">
        <v>3</v>
      </c>
      <c r="I87" s="1">
        <v>1.53</v>
      </c>
      <c r="J87" s="1">
        <v>1.29</v>
      </c>
      <c r="K87" s="1">
        <v>50</v>
      </c>
      <c r="L87" s="1">
        <v>25</v>
      </c>
      <c r="M87" s="1">
        <v>12</v>
      </c>
      <c r="N87" s="1">
        <v>0</v>
      </c>
      <c r="O87" s="1" t="s">
        <v>18</v>
      </c>
      <c r="P87" s="1">
        <v>360</v>
      </c>
      <c r="Q87" s="1" t="s">
        <v>64</v>
      </c>
      <c r="R87" s="1">
        <v>125</v>
      </c>
      <c r="S87" s="1">
        <v>0.3</v>
      </c>
      <c r="T87" s="1">
        <v>1</v>
      </c>
      <c r="U87" s="1">
        <v>0.5</v>
      </c>
      <c r="V87" s="1">
        <v>0.2</v>
      </c>
      <c r="W87" s="1"/>
      <c r="X87" s="1"/>
      <c r="Y87" s="1"/>
      <c r="Z87" s="3">
        <f>_xlfn.IFNA(VLOOKUP(D87,附件!$B$19:$C$21,2,FALSE)+附件!$C$23,0)+S87+J87*((200/(附件!$C$25+100))^0.5)</f>
        <v>1.59</v>
      </c>
      <c r="AA87" s="3">
        <f>G87*H87/Z87*R87/100</f>
        <v>23.584905660377352</v>
      </c>
      <c r="AB87">
        <f>G87*H87*R87/100</f>
        <v>37.5</v>
      </c>
      <c r="AC87">
        <f>$AA87*T87</f>
        <v>23.584905660377352</v>
      </c>
      <c r="AD87">
        <f>$AA87*U87</f>
        <v>11.792452830188676</v>
      </c>
      <c r="AE87">
        <f>$AA87*V87</f>
        <v>4.7169811320754702</v>
      </c>
    </row>
    <row r="88" spans="1:31" ht="23.25" customHeight="1" x14ac:dyDescent="0.2">
      <c r="A88" s="22" t="s">
        <v>869</v>
      </c>
      <c r="B88" s="1" t="s">
        <v>869</v>
      </c>
      <c r="C88" s="1" t="s">
        <v>1481</v>
      </c>
      <c r="D88" s="1" t="s">
        <v>1491</v>
      </c>
      <c r="E88" s="1">
        <v>10</v>
      </c>
      <c r="F88" s="1">
        <v>26</v>
      </c>
      <c r="G88" s="1">
        <v>35</v>
      </c>
      <c r="H88" s="1">
        <v>8</v>
      </c>
      <c r="I88" s="1">
        <v>11.04</v>
      </c>
      <c r="J88" s="1">
        <v>8.7100000000000009</v>
      </c>
      <c r="K88" s="1">
        <v>50</v>
      </c>
      <c r="L88" s="1">
        <v>16</v>
      </c>
      <c r="M88" s="1">
        <v>25</v>
      </c>
      <c r="N88" s="1">
        <v>0</v>
      </c>
      <c r="O88" s="1" t="s">
        <v>18</v>
      </c>
      <c r="P88" s="1">
        <v>39</v>
      </c>
      <c r="Q88" s="1" t="s">
        <v>27</v>
      </c>
      <c r="R88" s="1">
        <v>110</v>
      </c>
      <c r="S88" s="1">
        <v>1.2</v>
      </c>
      <c r="T88" s="1">
        <v>0.75</v>
      </c>
      <c r="U88" s="1">
        <v>1.1000000000000001</v>
      </c>
      <c r="V88" s="1">
        <v>0.75</v>
      </c>
      <c r="W88" s="1"/>
      <c r="X88" s="1"/>
      <c r="Y88" s="1"/>
      <c r="Z88" s="3">
        <f>_xlfn.IFNA(VLOOKUP(D88,附件!$B$19:$C$21,2,FALSE)+附件!$C$23,0)+S88+J88*((200/(附件!$C$25+100))^0.5)</f>
        <v>9.91</v>
      </c>
      <c r="AA88" s="3">
        <f>G88*H88/Z88*R88/100</f>
        <v>31.079717457114025</v>
      </c>
      <c r="AB88">
        <f>G88*H88*R88/100</f>
        <v>308</v>
      </c>
      <c r="AC88">
        <f>$AA88*T88</f>
        <v>23.309788092835518</v>
      </c>
      <c r="AD88">
        <f>$AA88*U88</f>
        <v>34.187689202825432</v>
      </c>
      <c r="AE88">
        <f>$AA88*V88</f>
        <v>23.309788092835518</v>
      </c>
    </row>
    <row r="89" spans="1:31" ht="23.25" customHeight="1" x14ac:dyDescent="0.2">
      <c r="A89" s="22" t="s">
        <v>32</v>
      </c>
      <c r="B89" s="1" t="s">
        <v>32</v>
      </c>
      <c r="C89" s="1" t="s">
        <v>1476</v>
      </c>
      <c r="D89" s="1" t="s">
        <v>1477</v>
      </c>
      <c r="E89" s="1">
        <v>7</v>
      </c>
      <c r="F89" s="1">
        <v>4</v>
      </c>
      <c r="G89" s="1">
        <v>8</v>
      </c>
      <c r="H89" s="1">
        <v>5</v>
      </c>
      <c r="I89" s="1">
        <v>1.93</v>
      </c>
      <c r="J89" s="1">
        <v>1.7</v>
      </c>
      <c r="K89" s="1">
        <v>50</v>
      </c>
      <c r="L89" s="1">
        <v>15</v>
      </c>
      <c r="M89" s="1">
        <v>12</v>
      </c>
      <c r="N89" s="1">
        <v>0</v>
      </c>
      <c r="O89" s="1" t="s">
        <v>18</v>
      </c>
      <c r="P89" s="1">
        <v>360</v>
      </c>
      <c r="Q89" s="1" t="s">
        <v>64</v>
      </c>
      <c r="R89" s="1">
        <v>110</v>
      </c>
      <c r="S89" s="1">
        <v>0.2</v>
      </c>
      <c r="T89" s="1">
        <v>1</v>
      </c>
      <c r="U89" s="1">
        <v>0.5</v>
      </c>
      <c r="V89" s="1">
        <v>0.2</v>
      </c>
      <c r="W89" s="1"/>
      <c r="X89" s="1"/>
      <c r="Y89" s="1"/>
      <c r="Z89" s="3">
        <f>_xlfn.IFNA(VLOOKUP(D89,附件!$B$19:$C$21,2,FALSE)+附件!$C$23,0)+S89+J89*((200/(附件!$C$25+100))^0.5)</f>
        <v>1.9</v>
      </c>
      <c r="AA89" s="3">
        <f>G89*H89/Z89*R89/100</f>
        <v>23.15789473684211</v>
      </c>
      <c r="AB89">
        <f>G89*H89*R89/100</f>
        <v>44</v>
      </c>
      <c r="AC89">
        <f>$AA89*T89</f>
        <v>23.15789473684211</v>
      </c>
      <c r="AD89">
        <f>$AA89*U89</f>
        <v>11.578947368421055</v>
      </c>
      <c r="AE89">
        <f>$AA89*V89</f>
        <v>4.6315789473684221</v>
      </c>
    </row>
    <row r="90" spans="1:31" ht="23.25" customHeight="1" x14ac:dyDescent="0.2">
      <c r="A90" s="22" t="s">
        <v>1314</v>
      </c>
      <c r="B90" s="1" t="s">
        <v>1314</v>
      </c>
      <c r="C90" s="1" t="s">
        <v>1476</v>
      </c>
      <c r="D90" s="1" t="s">
        <v>1477</v>
      </c>
      <c r="E90" s="1">
        <v>6</v>
      </c>
      <c r="F90" s="1">
        <v>3</v>
      </c>
      <c r="G90" s="1">
        <v>7</v>
      </c>
      <c r="H90" s="1">
        <v>6</v>
      </c>
      <c r="I90" s="1">
        <v>2.38</v>
      </c>
      <c r="J90" s="1">
        <v>2.12</v>
      </c>
      <c r="K90" s="1">
        <v>55</v>
      </c>
      <c r="L90" s="1">
        <v>0</v>
      </c>
      <c r="M90" s="1">
        <v>12</v>
      </c>
      <c r="N90" s="1">
        <v>0</v>
      </c>
      <c r="O90" s="1" t="s">
        <v>18</v>
      </c>
      <c r="P90" s="1">
        <v>200</v>
      </c>
      <c r="Q90" s="1" t="s">
        <v>64</v>
      </c>
      <c r="R90" s="1">
        <v>125</v>
      </c>
      <c r="S90" s="1">
        <v>0.16</v>
      </c>
      <c r="T90" s="1">
        <v>1</v>
      </c>
      <c r="U90" s="1">
        <v>0.55000000000000004</v>
      </c>
      <c r="V90" s="1">
        <v>0.25</v>
      </c>
      <c r="W90" s="1"/>
      <c r="X90" s="1"/>
      <c r="Y90" s="1"/>
      <c r="Z90" s="3">
        <f>_xlfn.IFNA(VLOOKUP(D90,附件!$B$19:$C$21,2,FALSE)+附件!$C$23,0)+S90+J90*((200/(附件!$C$25+100))^0.5)</f>
        <v>2.2800000000000002</v>
      </c>
      <c r="AA90" s="3">
        <f>G90*H90/Z90*R90/100</f>
        <v>23.026315789473685</v>
      </c>
      <c r="AB90">
        <f>G90*H90*R90/100</f>
        <v>52.5</v>
      </c>
      <c r="AC90">
        <f>$AA90*T90</f>
        <v>23.026315789473685</v>
      </c>
      <c r="AD90">
        <f>$AA90*U90</f>
        <v>12.664473684210527</v>
      </c>
      <c r="AE90">
        <f>$AA90*V90</f>
        <v>5.7565789473684212</v>
      </c>
    </row>
    <row r="91" spans="1:31" ht="23.25" customHeight="1" x14ac:dyDescent="0.2">
      <c r="A91" s="22" t="s">
        <v>138</v>
      </c>
      <c r="B91" s="1" t="s">
        <v>138</v>
      </c>
      <c r="C91" s="1" t="s">
        <v>1481</v>
      </c>
      <c r="D91" s="1" t="s">
        <v>1491</v>
      </c>
      <c r="E91" s="1">
        <v>11</v>
      </c>
      <c r="F91" s="1">
        <v>28</v>
      </c>
      <c r="G91" s="1">
        <v>48</v>
      </c>
      <c r="H91" s="1">
        <v>4</v>
      </c>
      <c r="I91" s="1">
        <v>9.2200000000000006</v>
      </c>
      <c r="J91" s="1">
        <v>6.42</v>
      </c>
      <c r="K91" s="1">
        <v>50</v>
      </c>
      <c r="L91" s="1">
        <v>12</v>
      </c>
      <c r="M91" s="1">
        <v>25</v>
      </c>
      <c r="N91" s="1">
        <v>0</v>
      </c>
      <c r="O91" s="1" t="s">
        <v>18</v>
      </c>
      <c r="P91" s="1">
        <v>40</v>
      </c>
      <c r="Q91" s="1" t="s">
        <v>27</v>
      </c>
      <c r="R91" s="1">
        <v>110</v>
      </c>
      <c r="S91" s="1">
        <v>0.5</v>
      </c>
      <c r="T91" s="1">
        <v>0.75</v>
      </c>
      <c r="U91" s="1">
        <v>1.1000000000000001</v>
      </c>
      <c r="V91" s="1">
        <v>0.75</v>
      </c>
      <c r="W91" s="1"/>
      <c r="X91" s="1"/>
      <c r="Y91" s="1"/>
      <c r="Z91" s="3">
        <f>_xlfn.IFNA(VLOOKUP(D91,附件!$B$19:$C$21,2,FALSE)+附件!$C$23,0)+S91+J91*((200/(附件!$C$25+100))^0.5)</f>
        <v>6.92</v>
      </c>
      <c r="AA91" s="3">
        <f>G91*H91/Z91*R91/100</f>
        <v>30.520231213872833</v>
      </c>
      <c r="AB91">
        <f>G91*H91*R91/100</f>
        <v>211.2</v>
      </c>
      <c r="AC91">
        <f>$AA91*T91</f>
        <v>22.890173410404625</v>
      </c>
      <c r="AD91">
        <f>$AA91*U91</f>
        <v>33.572254335260119</v>
      </c>
      <c r="AE91">
        <f>$AA91*V91</f>
        <v>22.890173410404625</v>
      </c>
    </row>
    <row r="92" spans="1:31" ht="23.25" customHeight="1" x14ac:dyDescent="0.2">
      <c r="A92" s="22" t="s">
        <v>1546</v>
      </c>
      <c r="B92" s="1" t="s">
        <v>1546</v>
      </c>
      <c r="C92" s="1" t="s">
        <v>1483</v>
      </c>
      <c r="D92" s="1" t="s">
        <v>1480</v>
      </c>
      <c r="E92" s="1">
        <v>13</v>
      </c>
      <c r="F92" s="1">
        <v>56</v>
      </c>
      <c r="G92" s="1">
        <v>133</v>
      </c>
      <c r="H92" s="1">
        <v>2</v>
      </c>
      <c r="I92" s="1">
        <v>22.28</v>
      </c>
      <c r="J92" s="1">
        <v>17.96</v>
      </c>
      <c r="K92" s="1">
        <v>80</v>
      </c>
      <c r="L92" s="1">
        <v>0</v>
      </c>
      <c r="M92" s="1">
        <v>45</v>
      </c>
      <c r="N92" s="1">
        <v>0</v>
      </c>
      <c r="O92" s="1" t="s">
        <v>53</v>
      </c>
      <c r="P92" s="1">
        <v>50</v>
      </c>
      <c r="Q92" s="1" t="s">
        <v>19</v>
      </c>
      <c r="R92" s="1">
        <v>110</v>
      </c>
      <c r="S92" s="1">
        <v>0</v>
      </c>
      <c r="T92" s="1">
        <v>1.4</v>
      </c>
      <c r="U92" s="1">
        <v>1.1000000000000001</v>
      </c>
      <c r="V92" s="1">
        <v>0.9</v>
      </c>
      <c r="W92" s="1"/>
      <c r="X92" s="1"/>
      <c r="Y92" s="1"/>
      <c r="Z92" s="3">
        <f>_xlfn.IFNA(VLOOKUP(D92,附件!$B$19:$C$21,2,FALSE)+附件!$C$23,0)+S92+J92*((200/(附件!$C$25+100))^0.5)</f>
        <v>17.96</v>
      </c>
      <c r="AA92" s="3">
        <f>G92*H92/Z92*R92/100</f>
        <v>16.291759465478844</v>
      </c>
      <c r="AB92">
        <f>G92*H92*R92/100</f>
        <v>292.60000000000002</v>
      </c>
      <c r="AC92">
        <f>$AA92*T92</f>
        <v>22.808463251670378</v>
      </c>
      <c r="AD92">
        <f>$AA92*U92</f>
        <v>17.920935412026729</v>
      </c>
      <c r="AE92">
        <f>$AA92*V92</f>
        <v>14.66258351893096</v>
      </c>
    </row>
    <row r="93" spans="1:31" ht="23.25" customHeight="1" x14ac:dyDescent="0.2">
      <c r="A93" s="22" t="s">
        <v>153</v>
      </c>
      <c r="B93" s="1" t="s">
        <v>153</v>
      </c>
      <c r="C93" s="1" t="s">
        <v>1481</v>
      </c>
      <c r="D93" s="1" t="s">
        <v>1480</v>
      </c>
      <c r="E93" s="1">
        <v>10</v>
      </c>
      <c r="F93" s="1">
        <v>44</v>
      </c>
      <c r="G93" s="1">
        <v>110</v>
      </c>
      <c r="H93" s="1">
        <v>4</v>
      </c>
      <c r="I93" s="1">
        <v>33.590000000000003</v>
      </c>
      <c r="J93" s="1">
        <v>26.87</v>
      </c>
      <c r="K93" s="1">
        <v>80</v>
      </c>
      <c r="L93" s="1">
        <v>0</v>
      </c>
      <c r="M93" s="1">
        <v>25</v>
      </c>
      <c r="N93" s="1">
        <v>0</v>
      </c>
      <c r="O93" s="1" t="s">
        <v>53</v>
      </c>
      <c r="P93" s="1">
        <v>50</v>
      </c>
      <c r="Q93" s="1" t="s">
        <v>19</v>
      </c>
      <c r="R93" s="1">
        <v>100</v>
      </c>
      <c r="S93" s="1">
        <v>0.15</v>
      </c>
      <c r="T93" s="1">
        <v>1.4</v>
      </c>
      <c r="U93" s="1">
        <v>1.1000000000000001</v>
      </c>
      <c r="V93" s="1">
        <v>0.9</v>
      </c>
      <c r="W93" s="1"/>
      <c r="X93" s="1"/>
      <c r="Y93" s="1"/>
      <c r="Z93" s="3">
        <f>_xlfn.IFNA(VLOOKUP(D93,附件!$B$19:$C$21,2,FALSE)+附件!$C$23,0)+S93+J93*((200/(附件!$C$25+100))^0.5)</f>
        <v>27.02</v>
      </c>
      <c r="AA93" s="3">
        <f>G93*H93/Z93*R93/100</f>
        <v>16.284233900814211</v>
      </c>
      <c r="AB93">
        <f>G93*H93*R93/100</f>
        <v>440</v>
      </c>
      <c r="AC93">
        <f>$AA93*T93</f>
        <v>22.797927461139896</v>
      </c>
      <c r="AD93">
        <f>$AA93*U93</f>
        <v>17.912657290895634</v>
      </c>
      <c r="AE93">
        <f>$AA93*V93</f>
        <v>14.65581051073279</v>
      </c>
    </row>
    <row r="94" spans="1:31" ht="23.25" customHeight="1" x14ac:dyDescent="0.2">
      <c r="A94" s="22" t="s">
        <v>1557</v>
      </c>
      <c r="B94" s="1" t="s">
        <v>1557</v>
      </c>
      <c r="C94" s="1" t="s">
        <v>1476</v>
      </c>
      <c r="D94" s="1" t="s">
        <v>1491</v>
      </c>
      <c r="E94" s="1">
        <v>6</v>
      </c>
      <c r="F94" s="1">
        <v>24</v>
      </c>
      <c r="G94" s="1">
        <v>36</v>
      </c>
      <c r="H94" s="1">
        <v>4</v>
      </c>
      <c r="I94" s="1">
        <v>10.31</v>
      </c>
      <c r="J94" s="1">
        <v>8.91</v>
      </c>
      <c r="K94" s="1">
        <v>50</v>
      </c>
      <c r="L94" s="1">
        <v>12</v>
      </c>
      <c r="M94" s="1">
        <v>12</v>
      </c>
      <c r="N94" s="1">
        <v>0</v>
      </c>
      <c r="O94" s="1" t="s">
        <v>18</v>
      </c>
      <c r="P94" s="1">
        <v>40</v>
      </c>
      <c r="Q94" s="1" t="s">
        <v>19</v>
      </c>
      <c r="R94" s="1">
        <v>110</v>
      </c>
      <c r="S94" s="1">
        <v>0.5</v>
      </c>
      <c r="T94" s="1">
        <v>1.35</v>
      </c>
      <c r="U94" s="1">
        <v>0.95</v>
      </c>
      <c r="V94" s="1">
        <v>0.7</v>
      </c>
      <c r="W94" s="1"/>
      <c r="X94" s="1"/>
      <c r="Y94" s="1"/>
      <c r="Z94" s="3">
        <f>_xlfn.IFNA(VLOOKUP(D94,附件!$B$19:$C$21,2,FALSE)+附件!$C$23,0)+S94+J94*((200/(附件!$C$25+100))^0.5)</f>
        <v>9.41</v>
      </c>
      <c r="AA94" s="3">
        <f>G94*H94/Z94*R94/100</f>
        <v>16.833156216790648</v>
      </c>
      <c r="AB94">
        <f>G94*H94*R94/100</f>
        <v>158.4</v>
      </c>
      <c r="AC94">
        <f>$AA94*T94</f>
        <v>22.724760892667376</v>
      </c>
      <c r="AD94">
        <f>$AA94*U94</f>
        <v>15.991498405951114</v>
      </c>
      <c r="AE94">
        <f>$AA94*V94</f>
        <v>11.783209351753452</v>
      </c>
    </row>
    <row r="95" spans="1:31" ht="23.25" customHeight="1" x14ac:dyDescent="0.2">
      <c r="A95" s="22" t="s">
        <v>47</v>
      </c>
      <c r="B95" s="1" t="s">
        <v>47</v>
      </c>
      <c r="C95" s="1" t="s">
        <v>1476</v>
      </c>
      <c r="D95" s="1" t="s">
        <v>1485</v>
      </c>
      <c r="E95" s="1">
        <v>6</v>
      </c>
      <c r="F95" s="1">
        <v>7</v>
      </c>
      <c r="G95" s="1">
        <v>13</v>
      </c>
      <c r="H95" s="1">
        <v>4</v>
      </c>
      <c r="I95" s="1">
        <v>4.29</v>
      </c>
      <c r="J95" s="1">
        <v>3.69</v>
      </c>
      <c r="K95" s="1">
        <v>55</v>
      </c>
      <c r="L95" s="1">
        <v>28</v>
      </c>
      <c r="M95" s="1">
        <v>12</v>
      </c>
      <c r="N95" s="1">
        <v>0</v>
      </c>
      <c r="O95" s="1" t="s">
        <v>43</v>
      </c>
      <c r="P95" s="1">
        <v>120</v>
      </c>
      <c r="Q95" s="1" t="s">
        <v>19</v>
      </c>
      <c r="R95" s="1">
        <v>110</v>
      </c>
      <c r="S95" s="1">
        <v>0</v>
      </c>
      <c r="T95" s="1">
        <v>1.45</v>
      </c>
      <c r="U95" s="1">
        <v>1.05</v>
      </c>
      <c r="V95" s="1">
        <v>0.7</v>
      </c>
      <c r="W95" s="1"/>
      <c r="X95" s="1"/>
      <c r="Y95" s="1"/>
      <c r="Z95" s="3">
        <f>_xlfn.IFNA(VLOOKUP(D95,附件!$B$19:$C$21,2,FALSE)+附件!$C$23,0)+S95+J95*((200/(附件!$C$25+100))^0.5)</f>
        <v>3.69</v>
      </c>
      <c r="AA95" s="3">
        <f>G95*H95/Z95*R95/100</f>
        <v>15.501355013550135</v>
      </c>
      <c r="AB95">
        <f>G95*H95*R95/100</f>
        <v>57.2</v>
      </c>
      <c r="AC95">
        <f>$AA95*T95</f>
        <v>22.476964769647697</v>
      </c>
      <c r="AD95">
        <f>$AA95*U95</f>
        <v>16.276422764227643</v>
      </c>
      <c r="AE95">
        <f>$AA95*V95</f>
        <v>10.850948509485095</v>
      </c>
    </row>
    <row r="96" spans="1:31" ht="23.25" customHeight="1" x14ac:dyDescent="0.2">
      <c r="A96" s="22" t="s">
        <v>34</v>
      </c>
      <c r="B96" s="1" t="s">
        <v>34</v>
      </c>
      <c r="C96" s="1" t="s">
        <v>1476</v>
      </c>
      <c r="D96" s="1" t="s">
        <v>1477</v>
      </c>
      <c r="E96" s="1">
        <v>6</v>
      </c>
      <c r="F96" s="1">
        <v>4</v>
      </c>
      <c r="G96" s="1">
        <v>9</v>
      </c>
      <c r="H96" s="1">
        <v>5</v>
      </c>
      <c r="I96" s="1">
        <v>2.2599999999999998</v>
      </c>
      <c r="J96" s="1">
        <v>2.02</v>
      </c>
      <c r="K96" s="1">
        <v>50</v>
      </c>
      <c r="L96" s="1">
        <v>15</v>
      </c>
      <c r="M96" s="1">
        <v>12</v>
      </c>
      <c r="N96" s="1">
        <v>0</v>
      </c>
      <c r="O96" s="1" t="s">
        <v>18</v>
      </c>
      <c r="P96" s="1">
        <v>360</v>
      </c>
      <c r="Q96" s="1" t="s">
        <v>64</v>
      </c>
      <c r="R96" s="1">
        <v>110</v>
      </c>
      <c r="S96" s="1">
        <v>0.2</v>
      </c>
      <c r="T96" s="1">
        <v>1</v>
      </c>
      <c r="U96" s="1">
        <v>0.5</v>
      </c>
      <c r="V96" s="1">
        <v>0.2</v>
      </c>
      <c r="W96" s="1"/>
      <c r="X96" s="1"/>
      <c r="Y96" s="1"/>
      <c r="Z96" s="3">
        <f>_xlfn.IFNA(VLOOKUP(D96,附件!$B$19:$C$21,2,FALSE)+附件!$C$23,0)+S96+J96*((200/(附件!$C$25+100))^0.5)</f>
        <v>2.2200000000000002</v>
      </c>
      <c r="AA96" s="3">
        <f>G96*H96/Z96*R96/100</f>
        <v>22.297297297297295</v>
      </c>
      <c r="AB96">
        <f>G96*H96*R96/100</f>
        <v>49.5</v>
      </c>
      <c r="AC96">
        <f>$AA96*T96</f>
        <v>22.297297297297295</v>
      </c>
      <c r="AD96">
        <f>$AA96*U96</f>
        <v>11.148648648648647</v>
      </c>
      <c r="AE96">
        <f>$AA96*V96</f>
        <v>4.4594594594594588</v>
      </c>
    </row>
    <row r="97" spans="1:31" ht="23.25" customHeight="1" x14ac:dyDescent="0.2">
      <c r="A97" s="22" t="s">
        <v>1541</v>
      </c>
      <c r="B97" s="1" t="s">
        <v>1541</v>
      </c>
      <c r="C97" s="1" t="s">
        <v>1481</v>
      </c>
      <c r="D97" s="1" t="s">
        <v>1480</v>
      </c>
      <c r="E97" s="1">
        <v>11</v>
      </c>
      <c r="F97" s="1">
        <v>56</v>
      </c>
      <c r="G97" s="1">
        <v>116</v>
      </c>
      <c r="H97" s="1">
        <v>4</v>
      </c>
      <c r="I97" s="1">
        <v>36.450000000000003</v>
      </c>
      <c r="J97" s="1">
        <v>30.66</v>
      </c>
      <c r="K97" s="1">
        <v>80</v>
      </c>
      <c r="L97" s="1">
        <v>0</v>
      </c>
      <c r="M97" s="1">
        <v>25</v>
      </c>
      <c r="N97" s="1">
        <v>0</v>
      </c>
      <c r="O97" s="1" t="s">
        <v>53</v>
      </c>
      <c r="P97" s="1">
        <v>50</v>
      </c>
      <c r="Q97" s="1" t="s">
        <v>19</v>
      </c>
      <c r="R97" s="1">
        <v>105</v>
      </c>
      <c r="S97" s="1">
        <v>0</v>
      </c>
      <c r="T97" s="1">
        <v>1.4</v>
      </c>
      <c r="U97" s="1">
        <v>1.1000000000000001</v>
      </c>
      <c r="V97" s="1">
        <v>0.9</v>
      </c>
      <c r="W97" s="1"/>
      <c r="X97" s="1"/>
      <c r="Y97" s="1"/>
      <c r="Z97" s="3">
        <f>_xlfn.IFNA(VLOOKUP(D97,附件!$B$19:$C$21,2,FALSE)+附件!$C$23,0)+S97+J97*((200/(附件!$C$25+100))^0.5)</f>
        <v>30.66</v>
      </c>
      <c r="AA97" s="3">
        <f>G97*H97/Z97*R97/100</f>
        <v>15.890410958904107</v>
      </c>
      <c r="AB97">
        <f>G97*H97*R97/100</f>
        <v>487.2</v>
      </c>
      <c r="AC97">
        <f>$AA97*T97</f>
        <v>22.24657534246575</v>
      </c>
      <c r="AD97">
        <f>$AA97*U97</f>
        <v>17.479452054794521</v>
      </c>
      <c r="AE97">
        <f>$AA97*V97</f>
        <v>14.301369863013697</v>
      </c>
    </row>
    <row r="98" spans="1:31" ht="23.25" customHeight="1" x14ac:dyDescent="0.2">
      <c r="A98" s="22" t="s">
        <v>101</v>
      </c>
      <c r="B98" s="1" t="s">
        <v>101</v>
      </c>
      <c r="C98" s="1" t="s">
        <v>1478</v>
      </c>
      <c r="D98" s="1" t="s">
        <v>1485</v>
      </c>
      <c r="E98" s="1">
        <v>3</v>
      </c>
      <c r="F98" s="1">
        <v>16</v>
      </c>
      <c r="G98" s="1">
        <v>22</v>
      </c>
      <c r="H98" s="1">
        <v>3</v>
      </c>
      <c r="I98" s="1">
        <v>3.12</v>
      </c>
      <c r="J98" s="1">
        <v>2.91</v>
      </c>
      <c r="K98" s="1">
        <v>55</v>
      </c>
      <c r="L98" s="1">
        <v>40</v>
      </c>
      <c r="M98" s="1">
        <v>0</v>
      </c>
      <c r="N98" s="1">
        <v>0</v>
      </c>
      <c r="O98" s="1" t="s">
        <v>100</v>
      </c>
      <c r="P98" s="1">
        <v>120</v>
      </c>
      <c r="Q98" s="1" t="s">
        <v>64</v>
      </c>
      <c r="R98" s="1">
        <v>110</v>
      </c>
      <c r="S98" s="1">
        <v>0.4</v>
      </c>
      <c r="T98" s="1">
        <v>1</v>
      </c>
      <c r="U98" s="1">
        <v>0.75</v>
      </c>
      <c r="V98" s="1">
        <v>0.4</v>
      </c>
      <c r="W98" s="1"/>
      <c r="X98" s="1"/>
      <c r="Y98" s="21"/>
      <c r="Z98" s="3">
        <f>_xlfn.IFNA(VLOOKUP(D98,附件!$B$19:$C$21,2,FALSE)+附件!$C$23,0)+S98+J98*((200/(附件!$C$25+100))^0.5)</f>
        <v>3.31</v>
      </c>
      <c r="AA98" s="3">
        <f>G98*H98/Z98*R98/100</f>
        <v>21.933534743202419</v>
      </c>
      <c r="AB98">
        <f>G98*H98*R98/100</f>
        <v>72.599999999999994</v>
      </c>
      <c r="AC98">
        <f>$AA98*T98</f>
        <v>21.933534743202419</v>
      </c>
      <c r="AD98">
        <f>$AA98*U98</f>
        <v>16.450151057401815</v>
      </c>
      <c r="AE98">
        <f>$AA98*V98</f>
        <v>8.7734138972809674</v>
      </c>
    </row>
    <row r="99" spans="1:31" ht="23.25" customHeight="1" x14ac:dyDescent="0.2">
      <c r="A99" s="22" t="s">
        <v>853</v>
      </c>
      <c r="B99" s="1" t="s">
        <v>853</v>
      </c>
      <c r="C99" s="1" t="s">
        <v>1476</v>
      </c>
      <c r="D99" s="1" t="s">
        <v>1485</v>
      </c>
      <c r="E99" s="1">
        <v>7</v>
      </c>
      <c r="F99" s="1">
        <v>8</v>
      </c>
      <c r="G99" s="1">
        <v>14</v>
      </c>
      <c r="H99" s="1">
        <v>4</v>
      </c>
      <c r="I99" s="1">
        <v>3.23</v>
      </c>
      <c r="J99" s="1">
        <v>2.83</v>
      </c>
      <c r="K99" s="1">
        <v>55</v>
      </c>
      <c r="L99" s="1">
        <v>28</v>
      </c>
      <c r="M99" s="1">
        <v>12</v>
      </c>
      <c r="N99" s="1">
        <v>0</v>
      </c>
      <c r="O99" s="1" t="s">
        <v>18</v>
      </c>
      <c r="P99" s="1">
        <v>120</v>
      </c>
      <c r="Q99" s="1" t="s">
        <v>64</v>
      </c>
      <c r="R99" s="1">
        <v>110</v>
      </c>
      <c r="S99" s="1">
        <v>0</v>
      </c>
      <c r="T99" s="1">
        <v>1</v>
      </c>
      <c r="U99" s="1">
        <v>0.75</v>
      </c>
      <c r="V99" s="1">
        <v>0.4</v>
      </c>
      <c r="W99" s="1"/>
      <c r="X99" s="1"/>
      <c r="Y99" s="1"/>
      <c r="Z99" s="3">
        <f>_xlfn.IFNA(VLOOKUP(D99,附件!$B$19:$C$21,2,FALSE)+附件!$C$23,0)+S99+J99*((200/(附件!$C$25+100))^0.5)</f>
        <v>2.83</v>
      </c>
      <c r="AA99" s="3">
        <f>G99*H99/Z99*R99/100</f>
        <v>21.766784452296818</v>
      </c>
      <c r="AB99">
        <f>G99*H99*R99/100</f>
        <v>61.6</v>
      </c>
      <c r="AC99">
        <f>$AA99*T99</f>
        <v>21.766784452296818</v>
      </c>
      <c r="AD99">
        <f>$AA99*U99</f>
        <v>16.325088339222614</v>
      </c>
      <c r="AE99">
        <f>$AA99*V99</f>
        <v>8.7067137809187276</v>
      </c>
    </row>
    <row r="100" spans="1:31" ht="23.25" customHeight="1" x14ac:dyDescent="0.2">
      <c r="A100" s="22" t="s">
        <v>1549</v>
      </c>
      <c r="B100" s="1" t="s">
        <v>1549</v>
      </c>
      <c r="C100" s="1" t="s">
        <v>1481</v>
      </c>
      <c r="D100" s="1" t="s">
        <v>1480</v>
      </c>
      <c r="E100" s="1">
        <v>11</v>
      </c>
      <c r="F100" s="1">
        <v>56</v>
      </c>
      <c r="G100" s="1">
        <v>116</v>
      </c>
      <c r="H100" s="1">
        <v>2</v>
      </c>
      <c r="I100" s="1">
        <v>21.95</v>
      </c>
      <c r="J100" s="1">
        <v>17.559999999999999</v>
      </c>
      <c r="K100" s="1">
        <v>80</v>
      </c>
      <c r="L100" s="1">
        <v>0</v>
      </c>
      <c r="M100" s="1">
        <v>25</v>
      </c>
      <c r="N100" s="1">
        <v>0</v>
      </c>
      <c r="O100" s="1" t="s">
        <v>53</v>
      </c>
      <c r="P100" s="1">
        <v>50</v>
      </c>
      <c r="Q100" s="1" t="s">
        <v>19</v>
      </c>
      <c r="R100" s="1">
        <v>115</v>
      </c>
      <c r="S100" s="1">
        <v>0</v>
      </c>
      <c r="T100" s="1">
        <v>1.4</v>
      </c>
      <c r="U100" s="1">
        <v>1.1000000000000001</v>
      </c>
      <c r="V100" s="1">
        <v>0.9</v>
      </c>
      <c r="W100" s="1"/>
      <c r="X100" s="1"/>
      <c r="Y100" s="1"/>
      <c r="Z100" s="3">
        <f>_xlfn.IFNA(VLOOKUP(D100,附件!$B$19:$C$21,2,FALSE)+附件!$C$23,0)+S100+J100*((200/(附件!$C$25+100))^0.5)</f>
        <v>17.559999999999999</v>
      </c>
      <c r="AA100" s="3">
        <f>G100*H100/Z100*R100/100</f>
        <v>15.19362186788155</v>
      </c>
      <c r="AB100">
        <f>G100*H100*R100/100</f>
        <v>266.8</v>
      </c>
      <c r="AC100">
        <f>$AA100*T100</f>
        <v>21.271070615034169</v>
      </c>
      <c r="AD100">
        <f>$AA100*U100</f>
        <v>16.712984054669707</v>
      </c>
      <c r="AE100">
        <f>$AA100*V100</f>
        <v>13.674259681093396</v>
      </c>
    </row>
    <row r="101" spans="1:31" ht="23.25" customHeight="1" x14ac:dyDescent="0.2">
      <c r="A101" s="22" t="s">
        <v>44</v>
      </c>
      <c r="B101" s="1" t="s">
        <v>44</v>
      </c>
      <c r="C101" s="1" t="s">
        <v>1476</v>
      </c>
      <c r="D101" s="1" t="s">
        <v>1485</v>
      </c>
      <c r="E101" s="1">
        <v>6</v>
      </c>
      <c r="F101" s="1">
        <v>6</v>
      </c>
      <c r="G101" s="1">
        <v>12</v>
      </c>
      <c r="H101" s="1">
        <v>4</v>
      </c>
      <c r="I101" s="1">
        <v>4.22</v>
      </c>
      <c r="J101" s="1">
        <v>3.64</v>
      </c>
      <c r="K101" s="1">
        <v>55</v>
      </c>
      <c r="L101" s="1">
        <v>28</v>
      </c>
      <c r="M101" s="1">
        <v>12</v>
      </c>
      <c r="N101" s="1">
        <v>0</v>
      </c>
      <c r="O101" s="1" t="s">
        <v>43</v>
      </c>
      <c r="P101" s="1">
        <v>120</v>
      </c>
      <c r="Q101" s="1" t="s">
        <v>19</v>
      </c>
      <c r="R101" s="1">
        <v>110</v>
      </c>
      <c r="S101" s="1">
        <v>0</v>
      </c>
      <c r="T101" s="1">
        <v>1.45</v>
      </c>
      <c r="U101" s="1">
        <v>1.05</v>
      </c>
      <c r="V101" s="1">
        <v>0.7</v>
      </c>
      <c r="W101" s="1"/>
      <c r="X101" s="1"/>
      <c r="Y101" s="1"/>
      <c r="Z101" s="3">
        <f>_xlfn.IFNA(VLOOKUP(D101,附件!$B$19:$C$21,2,FALSE)+附件!$C$23,0)+S101+J101*((200/(附件!$C$25+100))^0.5)</f>
        <v>3.64</v>
      </c>
      <c r="AA101" s="3">
        <f>G101*H101/Z101*R101/100</f>
        <v>14.505494505494505</v>
      </c>
      <c r="AB101">
        <f>G101*H101*R101/100</f>
        <v>52.8</v>
      </c>
      <c r="AC101">
        <f>$AA101*T101</f>
        <v>21.032967032967033</v>
      </c>
      <c r="AD101">
        <f>$AA101*U101</f>
        <v>15.230769230769232</v>
      </c>
      <c r="AE101">
        <f>$AA101*V101</f>
        <v>10.153846153846153</v>
      </c>
    </row>
    <row r="102" spans="1:31" ht="23.25" customHeight="1" x14ac:dyDescent="0.2">
      <c r="A102" s="22" t="s">
        <v>99</v>
      </c>
      <c r="B102" s="1" t="s">
        <v>99</v>
      </c>
      <c r="C102" s="1" t="s">
        <v>1478</v>
      </c>
      <c r="D102" s="1" t="s">
        <v>1485</v>
      </c>
      <c r="E102" s="1">
        <v>3</v>
      </c>
      <c r="F102" s="1">
        <v>14</v>
      </c>
      <c r="G102" s="1">
        <v>20</v>
      </c>
      <c r="H102" s="1">
        <v>3</v>
      </c>
      <c r="I102" s="1">
        <v>2.99</v>
      </c>
      <c r="J102" s="1">
        <v>2.77</v>
      </c>
      <c r="K102" s="1">
        <v>55</v>
      </c>
      <c r="L102" s="1">
        <v>40</v>
      </c>
      <c r="M102" s="1">
        <v>0</v>
      </c>
      <c r="N102" s="1">
        <v>0</v>
      </c>
      <c r="O102" s="1" t="s">
        <v>100</v>
      </c>
      <c r="P102" s="1">
        <v>120</v>
      </c>
      <c r="Q102" s="1" t="s">
        <v>64</v>
      </c>
      <c r="R102" s="1">
        <v>110</v>
      </c>
      <c r="S102" s="1">
        <v>0.4</v>
      </c>
      <c r="T102" s="1">
        <v>1</v>
      </c>
      <c r="U102" s="1">
        <v>0.75</v>
      </c>
      <c r="V102" s="1">
        <v>0.4</v>
      </c>
      <c r="W102" s="1"/>
      <c r="X102" s="1"/>
      <c r="Y102" s="1"/>
      <c r="Z102" s="3">
        <f>_xlfn.IFNA(VLOOKUP(D102,附件!$B$19:$C$21,2,FALSE)+附件!$C$23,0)+S102+J102*((200/(附件!$C$25+100))^0.5)</f>
        <v>3.17</v>
      </c>
      <c r="AA102" s="3">
        <f>G102*H102/Z102*R102/100</f>
        <v>20.820189274447948</v>
      </c>
      <c r="AB102">
        <f>G102*H102*R102/100</f>
        <v>66</v>
      </c>
      <c r="AC102">
        <f>$AA102*T102</f>
        <v>20.820189274447948</v>
      </c>
      <c r="AD102">
        <f>$AA102*U102</f>
        <v>15.615141955835961</v>
      </c>
      <c r="AE102">
        <f>$AA102*V102</f>
        <v>8.3280757097791795</v>
      </c>
    </row>
    <row r="103" spans="1:31" ht="23.25" customHeight="1" x14ac:dyDescent="0.2">
      <c r="A103" s="22" t="s">
        <v>151</v>
      </c>
      <c r="B103" s="1" t="s">
        <v>151</v>
      </c>
      <c r="C103" s="1" t="s">
        <v>1483</v>
      </c>
      <c r="D103" s="1" t="s">
        <v>1480</v>
      </c>
      <c r="E103" s="1">
        <v>13</v>
      </c>
      <c r="F103" s="1">
        <v>48</v>
      </c>
      <c r="G103" s="1">
        <v>108</v>
      </c>
      <c r="H103" s="1">
        <v>4</v>
      </c>
      <c r="I103" s="1">
        <v>33.36</v>
      </c>
      <c r="J103" s="1">
        <v>29.19</v>
      </c>
      <c r="K103" s="1">
        <v>80</v>
      </c>
      <c r="L103" s="1">
        <v>0</v>
      </c>
      <c r="M103" s="1">
        <v>45</v>
      </c>
      <c r="N103" s="1">
        <v>0</v>
      </c>
      <c r="O103" s="1" t="s">
        <v>53</v>
      </c>
      <c r="P103" s="1">
        <v>50</v>
      </c>
      <c r="Q103" s="1" t="s">
        <v>19</v>
      </c>
      <c r="R103" s="1">
        <v>100</v>
      </c>
      <c r="S103" s="1">
        <v>0</v>
      </c>
      <c r="T103" s="1">
        <v>1.4</v>
      </c>
      <c r="U103" s="1">
        <v>1.1000000000000001</v>
      </c>
      <c r="V103" s="1">
        <v>0.9</v>
      </c>
      <c r="W103" s="1"/>
      <c r="X103" s="1"/>
      <c r="Y103" s="1"/>
      <c r="Z103" s="3">
        <f>_xlfn.IFNA(VLOOKUP(D103,附件!$B$19:$C$21,2,FALSE)+附件!$C$23,0)+S103+J103*((200/(附件!$C$25+100))^0.5)</f>
        <v>29.19</v>
      </c>
      <c r="AA103" s="3">
        <f>G103*H103/Z103*R103/100</f>
        <v>14.799588900308324</v>
      </c>
      <c r="AB103">
        <f>G103*H103*R103/100</f>
        <v>432</v>
      </c>
      <c r="AC103">
        <f>$AA103*T103</f>
        <v>20.719424460431654</v>
      </c>
      <c r="AD103">
        <f>$AA103*U103</f>
        <v>16.279547790339159</v>
      </c>
      <c r="AE103">
        <f>$AA103*V103</f>
        <v>13.319630010277491</v>
      </c>
    </row>
    <row r="104" spans="1:31" ht="23.25" customHeight="1" x14ac:dyDescent="0.2">
      <c r="A104" s="22" t="s">
        <v>66</v>
      </c>
      <c r="B104" s="1" t="s">
        <v>66</v>
      </c>
      <c r="C104" s="1" t="s">
        <v>1476</v>
      </c>
      <c r="D104" s="1" t="s">
        <v>1534</v>
      </c>
      <c r="E104" s="1">
        <v>6</v>
      </c>
      <c r="F104" s="1">
        <v>32</v>
      </c>
      <c r="G104" s="1">
        <v>44</v>
      </c>
      <c r="H104" s="1">
        <v>6</v>
      </c>
      <c r="I104" s="1">
        <v>11.44</v>
      </c>
      <c r="J104" s="1">
        <v>10.039999999999999</v>
      </c>
      <c r="K104" s="1">
        <v>70</v>
      </c>
      <c r="L104" s="1">
        <v>25</v>
      </c>
      <c r="M104" s="1">
        <v>12</v>
      </c>
      <c r="N104" s="1">
        <v>0</v>
      </c>
      <c r="O104" s="1" t="s">
        <v>53</v>
      </c>
      <c r="P104" s="1">
        <v>40</v>
      </c>
      <c r="Q104" s="1" t="s">
        <v>27</v>
      </c>
      <c r="R104" s="1">
        <v>110</v>
      </c>
      <c r="S104" s="1">
        <v>0.5</v>
      </c>
      <c r="T104" s="1">
        <v>0.75</v>
      </c>
      <c r="U104" s="1">
        <v>1.1000000000000001</v>
      </c>
      <c r="V104" s="1">
        <v>0.75</v>
      </c>
      <c r="W104" s="1"/>
      <c r="X104" s="1"/>
      <c r="Y104" s="1"/>
      <c r="Z104" s="3">
        <f>_xlfn.IFNA(VLOOKUP(D104,附件!$B$19:$C$21,2,FALSE)+附件!$C$23,0)+S104+J104*((200/(附件!$C$25+100))^0.5)</f>
        <v>10.54</v>
      </c>
      <c r="AA104" s="3">
        <f>G104*H104/Z104*R104/100</f>
        <v>27.552182163187858</v>
      </c>
      <c r="AB104">
        <f>G104*H104*R104/100</f>
        <v>290.39999999999998</v>
      </c>
      <c r="AC104">
        <f>$AA104*T104</f>
        <v>20.664136622390892</v>
      </c>
      <c r="AD104">
        <f>$AA104*U104</f>
        <v>30.307400379506646</v>
      </c>
      <c r="AE104">
        <f>$AA104*V104</f>
        <v>20.664136622390892</v>
      </c>
    </row>
    <row r="105" spans="1:31" ht="23.25" customHeight="1" x14ac:dyDescent="0.2">
      <c r="A105" s="22" t="s">
        <v>1543</v>
      </c>
      <c r="B105" s="1" t="s">
        <v>1543</v>
      </c>
      <c r="C105" s="1" t="s">
        <v>1481</v>
      </c>
      <c r="D105" s="1" t="s">
        <v>1480</v>
      </c>
      <c r="E105" s="1">
        <v>10</v>
      </c>
      <c r="F105" s="1">
        <v>51</v>
      </c>
      <c r="G105" s="1">
        <v>128</v>
      </c>
      <c r="H105" s="1">
        <v>2</v>
      </c>
      <c r="I105" s="1">
        <v>24.28</v>
      </c>
      <c r="J105" s="1">
        <v>19.62</v>
      </c>
      <c r="K105" s="1">
        <v>80</v>
      </c>
      <c r="L105" s="1">
        <v>0</v>
      </c>
      <c r="M105" s="1">
        <v>25</v>
      </c>
      <c r="N105" s="1">
        <v>0</v>
      </c>
      <c r="O105" s="1" t="s">
        <v>53</v>
      </c>
      <c r="P105" s="1">
        <v>50</v>
      </c>
      <c r="Q105" s="1" t="s">
        <v>19</v>
      </c>
      <c r="R105" s="1">
        <v>110</v>
      </c>
      <c r="S105" s="1">
        <v>0</v>
      </c>
      <c r="T105" s="1">
        <v>1.4</v>
      </c>
      <c r="U105" s="1">
        <v>1.1000000000000001</v>
      </c>
      <c r="V105" s="1">
        <v>0.9</v>
      </c>
      <c r="W105" s="1"/>
      <c r="X105" s="1"/>
      <c r="Y105" s="1"/>
      <c r="Z105" s="3">
        <f>_xlfn.IFNA(VLOOKUP(D105,附件!$B$19:$C$21,2,FALSE)+附件!$C$23,0)+S105+J105*((200/(附件!$C$25+100))^0.5)</f>
        <v>19.62</v>
      </c>
      <c r="AA105" s="3">
        <f>G105*H105/Z105*R105/100</f>
        <v>14.352701325178389</v>
      </c>
      <c r="AB105">
        <f>G105*H105*R105/100</f>
        <v>281.60000000000002</v>
      </c>
      <c r="AC105">
        <f>$AA105*T105</f>
        <v>20.093781855249745</v>
      </c>
      <c r="AD105">
        <f>$AA105*U105</f>
        <v>15.787971457696228</v>
      </c>
      <c r="AE105">
        <f>$AA105*V105</f>
        <v>12.917431192660549</v>
      </c>
    </row>
    <row r="106" spans="1:31" ht="23.25" customHeight="1" x14ac:dyDescent="0.2">
      <c r="A106" s="22" t="s">
        <v>864</v>
      </c>
      <c r="B106" s="1" t="s">
        <v>864</v>
      </c>
      <c r="C106" s="1" t="s">
        <v>1476</v>
      </c>
      <c r="D106" s="1" t="s">
        <v>1491</v>
      </c>
      <c r="E106" s="1">
        <v>6</v>
      </c>
      <c r="F106" s="1">
        <v>19</v>
      </c>
      <c r="G106" s="1">
        <v>25</v>
      </c>
      <c r="H106" s="1">
        <v>8</v>
      </c>
      <c r="I106" s="1">
        <v>11.24</v>
      </c>
      <c r="J106" s="1">
        <v>9.84</v>
      </c>
      <c r="K106" s="1">
        <v>50</v>
      </c>
      <c r="L106" s="1">
        <v>16</v>
      </c>
      <c r="M106" s="1">
        <v>12</v>
      </c>
      <c r="N106" s="1">
        <v>0</v>
      </c>
      <c r="O106" s="1" t="s">
        <v>18</v>
      </c>
      <c r="P106" s="1">
        <v>39</v>
      </c>
      <c r="Q106" s="1" t="s">
        <v>64</v>
      </c>
      <c r="R106" s="1">
        <v>110</v>
      </c>
      <c r="S106" s="1">
        <v>1.2</v>
      </c>
      <c r="T106" s="1">
        <v>1</v>
      </c>
      <c r="U106" s="1">
        <v>0.9</v>
      </c>
      <c r="V106" s="1">
        <v>0.5</v>
      </c>
      <c r="W106" s="1"/>
      <c r="X106" s="1"/>
      <c r="Y106" s="21"/>
      <c r="Z106" s="3">
        <f>_xlfn.IFNA(VLOOKUP(D106,附件!$B$19:$C$21,2,FALSE)+附件!$C$23,0)+S106+J106*((200/(附件!$C$25+100))^0.5)</f>
        <v>11.04</v>
      </c>
      <c r="AA106" s="3">
        <f>G106*H106/Z106*R106/100</f>
        <v>19.927536231884059</v>
      </c>
      <c r="AB106">
        <f>G106*H106*R106/100</f>
        <v>220</v>
      </c>
      <c r="AC106">
        <f>$AA106*T106</f>
        <v>19.927536231884059</v>
      </c>
      <c r="AD106">
        <f>$AA106*U106</f>
        <v>17.934782608695652</v>
      </c>
      <c r="AE106">
        <f>$AA106*V106</f>
        <v>9.9637681159420293</v>
      </c>
    </row>
    <row r="107" spans="1:31" ht="23.25" customHeight="1" x14ac:dyDescent="0.2">
      <c r="A107" s="22" t="s">
        <v>1530</v>
      </c>
      <c r="B107" s="1" t="s">
        <v>1530</v>
      </c>
      <c r="C107" s="1" t="s">
        <v>1476</v>
      </c>
      <c r="D107" s="1" t="s">
        <v>1477</v>
      </c>
      <c r="E107" s="1">
        <v>7</v>
      </c>
      <c r="F107" s="1">
        <v>3</v>
      </c>
      <c r="G107" s="1">
        <v>12</v>
      </c>
      <c r="H107" s="1">
        <v>2</v>
      </c>
      <c r="I107" s="1">
        <v>1.6</v>
      </c>
      <c r="J107" s="1">
        <v>1.36</v>
      </c>
      <c r="K107" s="1">
        <v>50</v>
      </c>
      <c r="L107" s="1">
        <v>15</v>
      </c>
      <c r="M107" s="1">
        <v>12</v>
      </c>
      <c r="N107" s="1">
        <v>0</v>
      </c>
      <c r="O107" s="1" t="s">
        <v>18</v>
      </c>
      <c r="P107" s="1">
        <v>360</v>
      </c>
      <c r="Q107" s="1" t="s">
        <v>64</v>
      </c>
      <c r="R107" s="1">
        <v>125</v>
      </c>
      <c r="S107" s="1">
        <v>0.15</v>
      </c>
      <c r="T107" s="1">
        <v>1</v>
      </c>
      <c r="U107" s="1">
        <v>0.5</v>
      </c>
      <c r="V107" s="1">
        <v>0.2</v>
      </c>
      <c r="W107" s="1"/>
      <c r="X107" s="1"/>
      <c r="Y107" s="1"/>
      <c r="Z107" s="3">
        <f>_xlfn.IFNA(VLOOKUP(D107,附件!$B$19:$C$21,2,FALSE)+附件!$C$23,0)+S107+J107*((200/(附件!$C$25+100))^0.5)</f>
        <v>1.51</v>
      </c>
      <c r="AA107" s="3">
        <f>G107*H107/Z107*R107/100</f>
        <v>19.867549668874172</v>
      </c>
      <c r="AB107">
        <f>G107*H107*R107/100</f>
        <v>30</v>
      </c>
      <c r="AC107">
        <f>$AA107*T107</f>
        <v>19.867549668874172</v>
      </c>
      <c r="AD107">
        <f>$AA107*U107</f>
        <v>9.9337748344370862</v>
      </c>
      <c r="AE107">
        <f>$AA107*V107</f>
        <v>3.9735099337748347</v>
      </c>
    </row>
    <row r="108" spans="1:31" ht="23.25" customHeight="1" x14ac:dyDescent="0.2">
      <c r="A108" s="22" t="s">
        <v>77</v>
      </c>
      <c r="B108" s="1" t="s">
        <v>77</v>
      </c>
      <c r="C108" s="1" t="s">
        <v>1476</v>
      </c>
      <c r="D108" s="1" t="s">
        <v>1485</v>
      </c>
      <c r="E108" s="1">
        <v>6</v>
      </c>
      <c r="F108" s="1">
        <v>9</v>
      </c>
      <c r="G108" s="1">
        <v>15</v>
      </c>
      <c r="H108" s="1">
        <v>6</v>
      </c>
      <c r="I108" s="1">
        <v>5.43</v>
      </c>
      <c r="J108" s="1">
        <v>4.78</v>
      </c>
      <c r="K108" s="1">
        <v>55</v>
      </c>
      <c r="L108" s="1">
        <v>42</v>
      </c>
      <c r="M108" s="1">
        <v>12</v>
      </c>
      <c r="N108" s="1">
        <v>0</v>
      </c>
      <c r="O108" s="1" t="s">
        <v>18</v>
      </c>
      <c r="P108" s="1">
        <v>120</v>
      </c>
      <c r="Q108" s="1" t="s">
        <v>27</v>
      </c>
      <c r="R108" s="1">
        <v>105</v>
      </c>
      <c r="S108" s="1">
        <v>0</v>
      </c>
      <c r="T108" s="1">
        <v>1</v>
      </c>
      <c r="U108" s="1">
        <v>0.8</v>
      </c>
      <c r="V108" s="1">
        <v>0.6</v>
      </c>
      <c r="W108" s="1"/>
      <c r="X108" s="1"/>
      <c r="Y108" s="1"/>
      <c r="Z108" s="3">
        <f>_xlfn.IFNA(VLOOKUP(D108,附件!$B$19:$C$21,2,FALSE)+附件!$C$23,0)+S108+J108*((200/(附件!$C$25+100))^0.5)</f>
        <v>4.78</v>
      </c>
      <c r="AA108" s="3">
        <f>G108*H108/Z108*R108/100</f>
        <v>19.769874476987447</v>
      </c>
      <c r="AB108">
        <f>G108*H108*R108/100</f>
        <v>94.5</v>
      </c>
      <c r="AC108">
        <f>$AA108*T108</f>
        <v>19.769874476987447</v>
      </c>
      <c r="AD108">
        <f>$AA108*U108</f>
        <v>15.815899581589958</v>
      </c>
      <c r="AE108">
        <f>$AA108*V108</f>
        <v>11.861924686192468</v>
      </c>
    </row>
    <row r="109" spans="1:31" ht="23.25" customHeight="1" x14ac:dyDescent="0.2">
      <c r="A109" s="22" t="s">
        <v>145</v>
      </c>
      <c r="B109" s="1" t="s">
        <v>145</v>
      </c>
      <c r="C109" s="1" t="s">
        <v>1476</v>
      </c>
      <c r="D109" s="1" t="s">
        <v>1477</v>
      </c>
      <c r="E109" s="1">
        <v>7</v>
      </c>
      <c r="F109" s="1">
        <v>4</v>
      </c>
      <c r="G109" s="1">
        <v>10</v>
      </c>
      <c r="H109" s="1">
        <v>2</v>
      </c>
      <c r="I109" s="1">
        <v>1.44</v>
      </c>
      <c r="J109" s="1">
        <v>1.28</v>
      </c>
      <c r="K109" s="1">
        <v>50</v>
      </c>
      <c r="L109" s="1">
        <v>0</v>
      </c>
      <c r="M109" s="1">
        <v>12</v>
      </c>
      <c r="N109" s="1">
        <v>0</v>
      </c>
      <c r="O109" s="1" t="s">
        <v>18</v>
      </c>
      <c r="P109" s="1">
        <v>360</v>
      </c>
      <c r="Q109" s="1" t="s">
        <v>64</v>
      </c>
      <c r="R109" s="1">
        <v>125</v>
      </c>
      <c r="S109" s="1">
        <v>0</v>
      </c>
      <c r="T109" s="1">
        <v>1</v>
      </c>
      <c r="U109" s="1">
        <v>0.5</v>
      </c>
      <c r="V109" s="1">
        <v>0.2</v>
      </c>
      <c r="W109" s="1"/>
      <c r="X109" s="1"/>
      <c r="Y109" s="1"/>
      <c r="Z109" s="3">
        <f>_xlfn.IFNA(VLOOKUP(D109,附件!$B$19:$C$21,2,FALSE)+附件!$C$23,0)+S109+J109*((200/(附件!$C$25+100))^0.5)</f>
        <v>1.28</v>
      </c>
      <c r="AA109" s="3">
        <f>G109*H109/Z109*R109/100</f>
        <v>19.53125</v>
      </c>
      <c r="AB109">
        <f>G109*H109*R109/100</f>
        <v>25</v>
      </c>
      <c r="AC109">
        <f>$AA109*T109</f>
        <v>19.53125</v>
      </c>
      <c r="AD109">
        <f>$AA109*U109</f>
        <v>9.765625</v>
      </c>
      <c r="AE109">
        <f>$AA109*V109</f>
        <v>3.90625</v>
      </c>
    </row>
    <row r="110" spans="1:31" ht="23.25" customHeight="1" x14ac:dyDescent="0.2">
      <c r="A110" s="22" t="s">
        <v>1555</v>
      </c>
      <c r="B110" s="1" t="s">
        <v>1555</v>
      </c>
      <c r="C110" s="1" t="s">
        <v>1476</v>
      </c>
      <c r="D110" s="1" t="s">
        <v>1477</v>
      </c>
      <c r="E110" s="1">
        <v>6</v>
      </c>
      <c r="F110" s="1">
        <v>4</v>
      </c>
      <c r="G110" s="1">
        <v>9</v>
      </c>
      <c r="H110" s="1">
        <v>4</v>
      </c>
      <c r="I110" s="1">
        <v>2.13</v>
      </c>
      <c r="J110" s="1">
        <v>1.93</v>
      </c>
      <c r="K110" s="1">
        <v>50</v>
      </c>
      <c r="L110" s="1">
        <v>0</v>
      </c>
      <c r="M110" s="1">
        <v>5</v>
      </c>
      <c r="N110" s="1">
        <v>7</v>
      </c>
      <c r="O110" s="1" t="s">
        <v>18</v>
      </c>
      <c r="P110" s="1">
        <v>360</v>
      </c>
      <c r="Q110" s="1" t="s">
        <v>64</v>
      </c>
      <c r="R110" s="1">
        <v>110</v>
      </c>
      <c r="S110" s="1">
        <v>0.1</v>
      </c>
      <c r="T110" s="1">
        <v>1</v>
      </c>
      <c r="U110" s="1">
        <v>0.5</v>
      </c>
      <c r="V110" s="1">
        <v>0.2</v>
      </c>
      <c r="W110" s="1"/>
      <c r="X110" s="1"/>
      <c r="Y110" s="1"/>
      <c r="Z110" s="3">
        <f>_xlfn.IFNA(VLOOKUP(D110,附件!$B$19:$C$21,2,FALSE)+附件!$C$23,0)+S110+J110*((200/(附件!$C$25+100))^0.5)</f>
        <v>2.0299999999999998</v>
      </c>
      <c r="AA110" s="3">
        <f>G110*H110/Z110*R110/100</f>
        <v>19.50738916256158</v>
      </c>
      <c r="AB110">
        <f>G110*H110*R110/100</f>
        <v>39.6</v>
      </c>
      <c r="AC110">
        <f>$AA110*T110</f>
        <v>19.50738916256158</v>
      </c>
      <c r="AD110">
        <f>$AA110*U110</f>
        <v>9.75369458128079</v>
      </c>
      <c r="AE110">
        <f>$AA110*V110</f>
        <v>3.9014778325123163</v>
      </c>
    </row>
    <row r="111" spans="1:31" ht="23.25" customHeight="1" x14ac:dyDescent="0.2">
      <c r="A111" s="22" t="s">
        <v>29</v>
      </c>
      <c r="B111" s="1" t="s">
        <v>29</v>
      </c>
      <c r="C111" s="1" t="s">
        <v>1476</v>
      </c>
      <c r="D111" s="1" t="s">
        <v>1477</v>
      </c>
      <c r="E111" s="1">
        <v>6</v>
      </c>
      <c r="F111" s="1">
        <v>4</v>
      </c>
      <c r="G111" s="1">
        <v>8</v>
      </c>
      <c r="H111" s="1">
        <v>4</v>
      </c>
      <c r="I111" s="1">
        <v>1.94</v>
      </c>
      <c r="J111" s="1">
        <v>1.73</v>
      </c>
      <c r="K111" s="1">
        <v>50</v>
      </c>
      <c r="L111" s="1">
        <v>0</v>
      </c>
      <c r="M111" s="1">
        <v>12</v>
      </c>
      <c r="N111" s="1">
        <v>0</v>
      </c>
      <c r="O111" s="1" t="s">
        <v>18</v>
      </c>
      <c r="P111" s="1">
        <v>360</v>
      </c>
      <c r="Q111" s="1" t="s">
        <v>64</v>
      </c>
      <c r="R111" s="1">
        <v>110</v>
      </c>
      <c r="S111" s="1">
        <v>0.1</v>
      </c>
      <c r="T111" s="1">
        <v>1</v>
      </c>
      <c r="U111" s="1">
        <v>0.5</v>
      </c>
      <c r="V111" s="1">
        <v>0.2</v>
      </c>
      <c r="W111" s="1"/>
      <c r="X111" s="1"/>
      <c r="Y111" s="1"/>
      <c r="Z111" s="3">
        <f>_xlfn.IFNA(VLOOKUP(D111,附件!$B$19:$C$21,2,FALSE)+附件!$C$23,0)+S111+J111*((200/(附件!$C$25+100))^0.5)</f>
        <v>1.83</v>
      </c>
      <c r="AA111" s="3">
        <f>G111*H111/Z111*R111/100</f>
        <v>19.234972677595625</v>
      </c>
      <c r="AB111">
        <f>G111*H111*R111/100</f>
        <v>35.200000000000003</v>
      </c>
      <c r="AC111">
        <f>$AA111*T111</f>
        <v>19.234972677595625</v>
      </c>
      <c r="AD111">
        <f>$AA111*U111</f>
        <v>9.6174863387978125</v>
      </c>
      <c r="AE111">
        <f>$AA111*V111</f>
        <v>3.8469945355191251</v>
      </c>
    </row>
    <row r="112" spans="1:31" ht="23.25" customHeight="1" x14ac:dyDescent="0.2">
      <c r="A112" s="22" t="s">
        <v>1505</v>
      </c>
      <c r="B112" s="1" t="s">
        <v>1505</v>
      </c>
      <c r="C112" s="1" t="s">
        <v>1481</v>
      </c>
      <c r="D112" s="1" t="s">
        <v>1485</v>
      </c>
      <c r="E112" s="1">
        <v>11</v>
      </c>
      <c r="F112" s="1">
        <v>6</v>
      </c>
      <c r="G112" s="1">
        <v>15</v>
      </c>
      <c r="H112" s="1">
        <v>3</v>
      </c>
      <c r="I112" s="1">
        <v>2.42</v>
      </c>
      <c r="J112" s="1">
        <v>2.19</v>
      </c>
      <c r="K112" s="1">
        <v>55</v>
      </c>
      <c r="L112" s="1">
        <v>25</v>
      </c>
      <c r="M112" s="1">
        <v>25</v>
      </c>
      <c r="N112" s="1">
        <v>0</v>
      </c>
      <c r="O112" s="1" t="s">
        <v>18</v>
      </c>
      <c r="P112" s="1">
        <v>120</v>
      </c>
      <c r="Q112" s="1" t="s">
        <v>27</v>
      </c>
      <c r="R112" s="1">
        <v>105</v>
      </c>
      <c r="S112" s="1">
        <v>0.3</v>
      </c>
      <c r="T112" s="1">
        <v>1</v>
      </c>
      <c r="U112" s="1">
        <v>0.8</v>
      </c>
      <c r="V112" s="1">
        <v>0.6</v>
      </c>
      <c r="W112" s="1"/>
      <c r="X112" s="1"/>
      <c r="Y112" s="1"/>
      <c r="Z112" s="3">
        <f>_xlfn.IFNA(VLOOKUP(D112,附件!$B$19:$C$21,2,FALSE)+附件!$C$23,0)+S112+J112*((200/(附件!$C$25+100))^0.5)</f>
        <v>2.4899999999999998</v>
      </c>
      <c r="AA112" s="3">
        <f>G112*H112/Z112*R112/100</f>
        <v>18.975903614457831</v>
      </c>
      <c r="AB112">
        <f>G112*H112*R112/100</f>
        <v>47.25</v>
      </c>
      <c r="AC112">
        <f>$AA112*T112</f>
        <v>18.975903614457831</v>
      </c>
      <c r="AD112">
        <f>$AA112*U112</f>
        <v>15.180722891566266</v>
      </c>
      <c r="AE112">
        <f>$AA112*V112</f>
        <v>11.385542168674698</v>
      </c>
    </row>
    <row r="113" spans="1:31" ht="23.25" customHeight="1" x14ac:dyDescent="0.2">
      <c r="A113" s="22" t="s">
        <v>132</v>
      </c>
      <c r="B113" s="1" t="s">
        <v>132</v>
      </c>
      <c r="C113" s="1" t="s">
        <v>1476</v>
      </c>
      <c r="D113" s="1" t="s">
        <v>1491</v>
      </c>
      <c r="E113" s="1">
        <v>6</v>
      </c>
      <c r="F113" s="1">
        <v>25</v>
      </c>
      <c r="G113" s="1">
        <v>37</v>
      </c>
      <c r="H113" s="1">
        <v>6</v>
      </c>
      <c r="I113" s="1">
        <v>10.31</v>
      </c>
      <c r="J113" s="1">
        <v>8.91</v>
      </c>
      <c r="K113" s="1">
        <v>50</v>
      </c>
      <c r="L113" s="1">
        <v>15</v>
      </c>
      <c r="M113" s="1">
        <v>12</v>
      </c>
      <c r="N113" s="1">
        <v>0</v>
      </c>
      <c r="O113" s="1" t="s">
        <v>18</v>
      </c>
      <c r="P113" s="1">
        <v>40</v>
      </c>
      <c r="Q113" s="1" t="s">
        <v>27</v>
      </c>
      <c r="R113" s="1">
        <v>110</v>
      </c>
      <c r="S113" s="1">
        <v>1</v>
      </c>
      <c r="T113" s="1">
        <v>0.75</v>
      </c>
      <c r="U113" s="1">
        <v>1.1000000000000001</v>
      </c>
      <c r="V113" s="1">
        <v>0.75</v>
      </c>
      <c r="W113" s="1"/>
      <c r="X113" s="1"/>
      <c r="Y113" s="1"/>
      <c r="Z113" s="3">
        <f>_xlfn.IFNA(VLOOKUP(D113,附件!$B$19:$C$21,2,FALSE)+附件!$C$23,0)+S113+J113*((200/(附件!$C$25+100))^0.5)</f>
        <v>9.91</v>
      </c>
      <c r="AA113" s="3">
        <f>G113*H113/Z113*R113/100</f>
        <v>24.641775983854689</v>
      </c>
      <c r="AB113">
        <f>G113*H113*R113/100</f>
        <v>244.2</v>
      </c>
      <c r="AC113">
        <f>$AA113*T113</f>
        <v>18.481331987891018</v>
      </c>
      <c r="AD113">
        <f>$AA113*U113</f>
        <v>27.105953582240161</v>
      </c>
      <c r="AE113">
        <f>$AA113*V113</f>
        <v>18.481331987891018</v>
      </c>
    </row>
    <row r="114" spans="1:31" ht="23.25" customHeight="1" x14ac:dyDescent="0.2">
      <c r="A114" s="22" t="s">
        <v>1525</v>
      </c>
      <c r="B114" s="1" t="s">
        <v>1525</v>
      </c>
      <c r="C114" s="1" t="s">
        <v>1476</v>
      </c>
      <c r="D114" s="1" t="s">
        <v>1477</v>
      </c>
      <c r="E114" s="1">
        <v>7</v>
      </c>
      <c r="F114" s="1">
        <v>4</v>
      </c>
      <c r="G114" s="1">
        <v>11</v>
      </c>
      <c r="H114" s="1">
        <v>1</v>
      </c>
      <c r="I114" s="1">
        <v>0.87</v>
      </c>
      <c r="J114" s="1">
        <v>0.76</v>
      </c>
      <c r="K114" s="1">
        <v>50</v>
      </c>
      <c r="L114" s="1">
        <v>5</v>
      </c>
      <c r="M114" s="1">
        <v>12</v>
      </c>
      <c r="N114" s="1">
        <v>0</v>
      </c>
      <c r="O114" s="1" t="s">
        <v>18</v>
      </c>
      <c r="P114" s="1">
        <v>360</v>
      </c>
      <c r="Q114" s="1" t="s">
        <v>64</v>
      </c>
      <c r="R114" s="1">
        <v>125</v>
      </c>
      <c r="S114" s="1">
        <v>0</v>
      </c>
      <c r="T114" s="1">
        <v>1</v>
      </c>
      <c r="U114" s="1">
        <v>0.5</v>
      </c>
      <c r="V114" s="1">
        <v>0.2</v>
      </c>
      <c r="W114" s="1"/>
      <c r="X114" s="1"/>
      <c r="Y114" s="1"/>
      <c r="Z114" s="3">
        <f>_xlfn.IFNA(VLOOKUP(D114,附件!$B$19:$C$21,2,FALSE)+附件!$C$23,0)+S114+J114*((200/(附件!$C$25+100))^0.5)</f>
        <v>0.76</v>
      </c>
      <c r="AA114" s="3">
        <f>G114*H114/Z114*R114/100</f>
        <v>18.092105263157894</v>
      </c>
      <c r="AB114">
        <f>G114*H114*R114/100</f>
        <v>13.75</v>
      </c>
      <c r="AC114">
        <f>$AA114*T114</f>
        <v>18.092105263157894</v>
      </c>
      <c r="AD114">
        <f>$AA114*U114</f>
        <v>9.0460526315789469</v>
      </c>
      <c r="AE114">
        <f>$AA114*V114</f>
        <v>3.6184210526315788</v>
      </c>
    </row>
    <row r="115" spans="1:31" ht="23.25" customHeight="1" x14ac:dyDescent="0.2">
      <c r="A115" s="22" t="s">
        <v>150</v>
      </c>
      <c r="B115" s="1" t="s">
        <v>150</v>
      </c>
      <c r="C115" s="1" t="s">
        <v>1481</v>
      </c>
      <c r="D115" s="1" t="s">
        <v>1480</v>
      </c>
      <c r="E115" s="1">
        <v>10</v>
      </c>
      <c r="F115" s="1">
        <v>44</v>
      </c>
      <c r="G115" s="1">
        <v>99</v>
      </c>
      <c r="H115" s="1">
        <v>4</v>
      </c>
      <c r="I115" s="1">
        <v>35.119999999999997</v>
      </c>
      <c r="J115" s="1">
        <v>30.73</v>
      </c>
      <c r="K115" s="1">
        <v>80</v>
      </c>
      <c r="L115" s="1">
        <v>0</v>
      </c>
      <c r="M115" s="1">
        <v>25</v>
      </c>
      <c r="N115" s="1">
        <v>0</v>
      </c>
      <c r="O115" s="1" t="s">
        <v>53</v>
      </c>
      <c r="P115" s="1">
        <v>50</v>
      </c>
      <c r="Q115" s="1" t="s">
        <v>19</v>
      </c>
      <c r="R115" s="1">
        <v>100</v>
      </c>
      <c r="S115" s="1">
        <v>0</v>
      </c>
      <c r="T115" s="1">
        <v>1.4</v>
      </c>
      <c r="U115" s="1">
        <v>1.1000000000000001</v>
      </c>
      <c r="V115" s="1">
        <v>0.9</v>
      </c>
      <c r="W115" s="1"/>
      <c r="X115" s="1"/>
      <c r="Y115" s="1"/>
      <c r="Z115" s="3">
        <f>_xlfn.IFNA(VLOOKUP(D115,附件!$B$19:$C$21,2,FALSE)+附件!$C$23,0)+S115+J115*((200/(附件!$C$25+100))^0.5)</f>
        <v>30.73</v>
      </c>
      <c r="AA115" s="3">
        <f>G115*H115/Z115*R115/100</f>
        <v>12.886430198503092</v>
      </c>
      <c r="AB115">
        <f>G115*H115*R115/100</f>
        <v>396</v>
      </c>
      <c r="AC115">
        <f>$AA115*T115</f>
        <v>18.041002277904326</v>
      </c>
      <c r="AD115">
        <f>$AA115*U115</f>
        <v>14.175073218353402</v>
      </c>
      <c r="AE115">
        <f>$AA115*V115</f>
        <v>11.597787178652784</v>
      </c>
    </row>
    <row r="116" spans="1:31" ht="23.25" customHeight="1" x14ac:dyDescent="0.2">
      <c r="A116" s="22" t="s">
        <v>1554</v>
      </c>
      <c r="B116" s="1" t="s">
        <v>1554</v>
      </c>
      <c r="C116" s="1" t="s">
        <v>1478</v>
      </c>
      <c r="D116" s="1" t="s">
        <v>1485</v>
      </c>
      <c r="E116" s="1">
        <v>3</v>
      </c>
      <c r="F116" s="1">
        <v>8</v>
      </c>
      <c r="G116" s="1">
        <v>11</v>
      </c>
      <c r="H116" s="1">
        <v>6</v>
      </c>
      <c r="I116" s="1">
        <v>4.04</v>
      </c>
      <c r="J116" s="1">
        <v>3.92</v>
      </c>
      <c r="K116" s="1">
        <v>55</v>
      </c>
      <c r="L116" s="1">
        <v>42</v>
      </c>
      <c r="M116" s="1">
        <v>5</v>
      </c>
      <c r="N116" s="1">
        <v>0</v>
      </c>
      <c r="O116" s="1" t="s">
        <v>43</v>
      </c>
      <c r="P116" s="1">
        <v>120</v>
      </c>
      <c r="Q116" s="1" t="s">
        <v>64</v>
      </c>
      <c r="R116" s="1">
        <v>105</v>
      </c>
      <c r="S116" s="1">
        <v>0</v>
      </c>
      <c r="T116" s="1">
        <v>1</v>
      </c>
      <c r="U116" s="1">
        <v>0.75</v>
      </c>
      <c r="V116" s="1">
        <v>0.4</v>
      </c>
      <c r="W116" s="1"/>
      <c r="X116" s="1"/>
      <c r="Y116" s="1"/>
      <c r="Z116" s="3">
        <f>_xlfn.IFNA(VLOOKUP(D116,附件!$B$19:$C$21,2,FALSE)+附件!$C$23,0)+S116+J116*((200/(附件!$C$25+100))^0.5)</f>
        <v>3.92</v>
      </c>
      <c r="AA116" s="3">
        <f>G116*H116/Z116*R116/100</f>
        <v>17.678571428571431</v>
      </c>
      <c r="AB116">
        <f>G116*H116*R116/100</f>
        <v>69.3</v>
      </c>
      <c r="AC116">
        <f>$AA116*T116</f>
        <v>17.678571428571431</v>
      </c>
      <c r="AD116">
        <f>$AA116*U116</f>
        <v>13.258928571428573</v>
      </c>
      <c r="AE116">
        <f>$AA116*V116</f>
        <v>7.071428571428573</v>
      </c>
    </row>
    <row r="117" spans="1:31" ht="23.25" customHeight="1" x14ac:dyDescent="0.2">
      <c r="A117" s="22" t="s">
        <v>855</v>
      </c>
      <c r="B117" s="1" t="s">
        <v>855</v>
      </c>
      <c r="C117" s="1" t="s">
        <v>1476</v>
      </c>
      <c r="D117" s="1" t="s">
        <v>1480</v>
      </c>
      <c r="E117" s="1">
        <v>7</v>
      </c>
      <c r="F117" s="1">
        <v>54</v>
      </c>
      <c r="G117" s="1">
        <v>92</v>
      </c>
      <c r="H117" s="1">
        <v>3</v>
      </c>
      <c r="I117" s="1">
        <v>30.59</v>
      </c>
      <c r="J117" s="1">
        <v>27.4</v>
      </c>
      <c r="K117" s="1">
        <v>80</v>
      </c>
      <c r="L117" s="1">
        <v>0</v>
      </c>
      <c r="M117" s="1">
        <v>12</v>
      </c>
      <c r="N117" s="1">
        <v>0</v>
      </c>
      <c r="O117" s="1" t="s">
        <v>53</v>
      </c>
      <c r="P117" s="1">
        <v>50</v>
      </c>
      <c r="Q117" s="1" t="s">
        <v>19</v>
      </c>
      <c r="R117" s="1">
        <v>125</v>
      </c>
      <c r="S117" s="1">
        <v>0</v>
      </c>
      <c r="T117" s="1">
        <v>1.4</v>
      </c>
      <c r="U117" s="1">
        <v>1.1000000000000001</v>
      </c>
      <c r="V117" s="1">
        <v>0.9</v>
      </c>
      <c r="W117" s="1"/>
      <c r="X117" s="1"/>
      <c r="Y117" s="1"/>
      <c r="Z117" s="3">
        <f>_xlfn.IFNA(VLOOKUP(D117,附件!$B$19:$C$21,2,FALSE)+附件!$C$23,0)+S117+J117*((200/(附件!$C$25+100))^0.5)</f>
        <v>27.4</v>
      </c>
      <c r="AA117" s="3">
        <f>G117*H117/Z117*R117/100</f>
        <v>12.591240875912408</v>
      </c>
      <c r="AB117">
        <f>G117*H117*R117/100</f>
        <v>345</v>
      </c>
      <c r="AC117">
        <f>$AA117*T117</f>
        <v>17.627737226277372</v>
      </c>
      <c r="AD117">
        <f>$AA117*U117</f>
        <v>13.850364963503651</v>
      </c>
      <c r="AE117">
        <f>$AA117*V117</f>
        <v>11.332116788321168</v>
      </c>
    </row>
    <row r="118" spans="1:31" ht="23.25" customHeight="1" x14ac:dyDescent="0.2">
      <c r="A118" s="22" t="s">
        <v>130</v>
      </c>
      <c r="B118" s="1" t="s">
        <v>130</v>
      </c>
      <c r="C118" s="1" t="s">
        <v>1476</v>
      </c>
      <c r="D118" s="1" t="s">
        <v>1485</v>
      </c>
      <c r="E118" s="1">
        <v>6</v>
      </c>
      <c r="F118" s="1">
        <v>9</v>
      </c>
      <c r="G118" s="1">
        <v>15</v>
      </c>
      <c r="H118" s="1">
        <v>4</v>
      </c>
      <c r="I118" s="1">
        <v>4.0999999999999996</v>
      </c>
      <c r="J118" s="1">
        <v>3.78</v>
      </c>
      <c r="K118" s="1">
        <v>55</v>
      </c>
      <c r="L118" s="1">
        <v>28</v>
      </c>
      <c r="M118" s="1">
        <v>12</v>
      </c>
      <c r="N118" s="1">
        <v>0</v>
      </c>
      <c r="O118" s="1" t="s">
        <v>18</v>
      </c>
      <c r="P118" s="1">
        <v>120</v>
      </c>
      <c r="Q118" s="1" t="s">
        <v>27</v>
      </c>
      <c r="R118" s="1">
        <v>110</v>
      </c>
      <c r="S118" s="1">
        <v>0</v>
      </c>
      <c r="T118" s="1">
        <v>1</v>
      </c>
      <c r="U118" s="1">
        <v>0.8</v>
      </c>
      <c r="V118" s="1">
        <v>0.6</v>
      </c>
      <c r="W118" s="1"/>
      <c r="X118" s="1"/>
      <c r="Y118" s="1"/>
      <c r="Z118" s="3">
        <f>_xlfn.IFNA(VLOOKUP(D118,附件!$B$19:$C$21,2,FALSE)+附件!$C$23,0)+S118+J118*((200/(附件!$C$25+100))^0.5)</f>
        <v>3.78</v>
      </c>
      <c r="AA118" s="3">
        <f>G118*H118/Z118*R118/100</f>
        <v>17.460317460317459</v>
      </c>
      <c r="AB118">
        <f>G118*H118*R118/100</f>
        <v>66</v>
      </c>
      <c r="AC118">
        <f>$AA118*T118</f>
        <v>17.460317460317459</v>
      </c>
      <c r="AD118">
        <f>$AA118*U118</f>
        <v>13.968253968253968</v>
      </c>
      <c r="AE118">
        <f>$AA118*V118</f>
        <v>10.476190476190474</v>
      </c>
    </row>
    <row r="119" spans="1:31" ht="23.25" customHeight="1" x14ac:dyDescent="0.2">
      <c r="A119" s="22" t="s">
        <v>143</v>
      </c>
      <c r="B119" s="1" t="s">
        <v>143</v>
      </c>
      <c r="C119" s="1" t="s">
        <v>1476</v>
      </c>
      <c r="D119" s="1" t="s">
        <v>1485</v>
      </c>
      <c r="E119" s="1">
        <v>6</v>
      </c>
      <c r="F119" s="1">
        <v>8</v>
      </c>
      <c r="G119" s="1">
        <v>14</v>
      </c>
      <c r="H119" s="1">
        <v>4</v>
      </c>
      <c r="I119" s="1">
        <v>3.51</v>
      </c>
      <c r="J119" s="1">
        <v>3.29</v>
      </c>
      <c r="K119" s="1">
        <v>55</v>
      </c>
      <c r="L119" s="1">
        <v>0</v>
      </c>
      <c r="M119" s="1">
        <v>12</v>
      </c>
      <c r="N119" s="1">
        <v>0</v>
      </c>
      <c r="O119" s="1" t="s">
        <v>18</v>
      </c>
      <c r="P119" s="1">
        <v>120</v>
      </c>
      <c r="Q119" s="1" t="s">
        <v>27</v>
      </c>
      <c r="R119" s="1">
        <v>105</v>
      </c>
      <c r="S119" s="1">
        <v>0.1</v>
      </c>
      <c r="T119" s="1">
        <v>1</v>
      </c>
      <c r="U119" s="1">
        <v>0.8</v>
      </c>
      <c r="V119" s="1">
        <v>0.6</v>
      </c>
      <c r="W119" s="1"/>
      <c r="X119" s="1"/>
      <c r="Y119" s="1"/>
      <c r="Z119" s="3">
        <f>_xlfn.IFNA(VLOOKUP(D119,附件!$B$19:$C$21,2,FALSE)+附件!$C$23,0)+S119+J119*((200/(附件!$C$25+100))^0.5)</f>
        <v>3.39</v>
      </c>
      <c r="AA119" s="3">
        <f>G119*H119/Z119*R119/100</f>
        <v>17.345132743362832</v>
      </c>
      <c r="AB119">
        <f>G119*H119*R119/100</f>
        <v>58.8</v>
      </c>
      <c r="AC119">
        <f>$AA119*T119</f>
        <v>17.345132743362832</v>
      </c>
      <c r="AD119">
        <f>$AA119*U119</f>
        <v>13.876106194690266</v>
      </c>
      <c r="AE119">
        <f>$AA119*V119</f>
        <v>10.407079646017699</v>
      </c>
    </row>
    <row r="120" spans="1:31" ht="23.25" customHeight="1" x14ac:dyDescent="0.2">
      <c r="A120" s="22" t="s">
        <v>77</v>
      </c>
      <c r="B120" s="1" t="s">
        <v>77</v>
      </c>
      <c r="C120" s="1" t="s">
        <v>1476</v>
      </c>
      <c r="D120" s="1" t="s">
        <v>1485</v>
      </c>
      <c r="E120" s="1">
        <v>6</v>
      </c>
      <c r="F120" s="1">
        <v>8</v>
      </c>
      <c r="G120" s="1">
        <v>14</v>
      </c>
      <c r="H120" s="1">
        <v>6</v>
      </c>
      <c r="I120" s="1">
        <v>5.59</v>
      </c>
      <c r="J120" s="1">
        <v>5.1100000000000003</v>
      </c>
      <c r="K120" s="1">
        <v>55</v>
      </c>
      <c r="L120" s="1">
        <v>42</v>
      </c>
      <c r="M120" s="1">
        <v>12</v>
      </c>
      <c r="N120" s="1">
        <v>0</v>
      </c>
      <c r="O120" s="1" t="s">
        <v>18</v>
      </c>
      <c r="P120" s="1">
        <v>120</v>
      </c>
      <c r="Q120" s="1" t="s">
        <v>64</v>
      </c>
      <c r="R120" s="1">
        <v>105</v>
      </c>
      <c r="S120" s="1">
        <v>0</v>
      </c>
      <c r="T120" s="1">
        <v>1</v>
      </c>
      <c r="U120" s="1">
        <v>0.75</v>
      </c>
      <c r="V120" s="1">
        <v>0.4</v>
      </c>
      <c r="W120" s="1"/>
      <c r="X120" s="1"/>
      <c r="Y120" s="1"/>
      <c r="Z120" s="3">
        <f>_xlfn.IFNA(VLOOKUP(D120,附件!$B$19:$C$21,2,FALSE)+附件!$C$23,0)+S120+J120*((200/(附件!$C$25+100))^0.5)</f>
        <v>5.1100000000000003</v>
      </c>
      <c r="AA120" s="3">
        <f>G120*H120/Z120*R120/100</f>
        <v>17.260273972602739</v>
      </c>
      <c r="AB120">
        <f>G120*H120*R120/100</f>
        <v>88.2</v>
      </c>
      <c r="AC120">
        <f>$AA120*T120</f>
        <v>17.260273972602739</v>
      </c>
      <c r="AD120">
        <f>$AA120*U120</f>
        <v>12.945205479452055</v>
      </c>
      <c r="AE120">
        <f>$AA120*V120</f>
        <v>6.904109589041096</v>
      </c>
    </row>
    <row r="121" spans="1:31" ht="23.25" customHeight="1" x14ac:dyDescent="0.2">
      <c r="A121" s="22" t="s">
        <v>128</v>
      </c>
      <c r="B121" s="1" t="s">
        <v>128</v>
      </c>
      <c r="C121" s="1" t="s">
        <v>1481</v>
      </c>
      <c r="D121" s="1" t="s">
        <v>1477</v>
      </c>
      <c r="E121" s="1">
        <v>11</v>
      </c>
      <c r="F121" s="1">
        <v>4</v>
      </c>
      <c r="G121" s="1">
        <v>11</v>
      </c>
      <c r="H121" s="1">
        <v>2</v>
      </c>
      <c r="I121" s="1">
        <v>1.6</v>
      </c>
      <c r="J121" s="1">
        <v>1.27</v>
      </c>
      <c r="K121" s="1">
        <v>50</v>
      </c>
      <c r="L121" s="1">
        <v>0</v>
      </c>
      <c r="M121" s="1">
        <v>10</v>
      </c>
      <c r="N121" s="1">
        <v>15</v>
      </c>
      <c r="O121" s="1" t="s">
        <v>18</v>
      </c>
      <c r="P121" s="1">
        <v>360</v>
      </c>
      <c r="Q121" s="1" t="s">
        <v>27</v>
      </c>
      <c r="R121" s="1">
        <v>110</v>
      </c>
      <c r="S121" s="1">
        <v>0</v>
      </c>
      <c r="T121" s="1">
        <v>0.9</v>
      </c>
      <c r="U121" s="1">
        <v>0.7</v>
      </c>
      <c r="V121" s="1">
        <v>0.4</v>
      </c>
      <c r="W121" s="1"/>
      <c r="X121" s="1"/>
      <c r="Y121" s="1"/>
      <c r="Z121" s="3">
        <f>_xlfn.IFNA(VLOOKUP(D121,附件!$B$19:$C$21,2,FALSE)+附件!$C$23,0)+S121+J121*((200/(附件!$C$25+100))^0.5)</f>
        <v>1.27</v>
      </c>
      <c r="AA121" s="3">
        <f>G121*H121/Z121*R121/100</f>
        <v>19.055118110236222</v>
      </c>
      <c r="AB121">
        <f>G121*H121*R121/100</f>
        <v>24.2</v>
      </c>
      <c r="AC121">
        <f>$AA121*T121</f>
        <v>17.1496062992126</v>
      </c>
      <c r="AD121">
        <f>$AA121*U121</f>
        <v>13.338582677165356</v>
      </c>
      <c r="AE121">
        <f>$AA121*V121</f>
        <v>7.6220472440944889</v>
      </c>
    </row>
    <row r="122" spans="1:31" ht="23.25" customHeight="1" x14ac:dyDescent="0.2">
      <c r="A122" s="22" t="s">
        <v>1479</v>
      </c>
      <c r="B122" s="1" t="s">
        <v>1479</v>
      </c>
      <c r="C122" s="1" t="s">
        <v>1476</v>
      </c>
      <c r="D122" s="1" t="s">
        <v>1480</v>
      </c>
      <c r="E122" s="1">
        <v>6</v>
      </c>
      <c r="F122" s="1">
        <v>55</v>
      </c>
      <c r="G122" s="1">
        <v>108</v>
      </c>
      <c r="H122" s="1">
        <v>3</v>
      </c>
      <c r="I122" s="1">
        <v>31.6</v>
      </c>
      <c r="J122" s="1">
        <v>27.81</v>
      </c>
      <c r="K122" s="1">
        <v>80</v>
      </c>
      <c r="L122" s="1">
        <v>0</v>
      </c>
      <c r="M122" s="1">
        <v>12</v>
      </c>
      <c r="N122" s="1">
        <v>0</v>
      </c>
      <c r="O122" s="1" t="s">
        <v>53</v>
      </c>
      <c r="P122" s="1">
        <v>50</v>
      </c>
      <c r="Q122" s="1" t="s">
        <v>19</v>
      </c>
      <c r="R122" s="1">
        <v>105</v>
      </c>
      <c r="S122" s="1">
        <v>0</v>
      </c>
      <c r="T122" s="1">
        <v>1.4</v>
      </c>
      <c r="U122" s="1">
        <v>1.1000000000000001</v>
      </c>
      <c r="V122" s="1">
        <v>0.9</v>
      </c>
      <c r="W122" s="1"/>
      <c r="X122" s="1"/>
      <c r="Y122" s="1"/>
      <c r="Z122" s="3">
        <f>_xlfn.IFNA(VLOOKUP(D122,附件!$B$19:$C$21,2,FALSE)+附件!$C$23,0)+S122+J122*((200/(附件!$C$25+100))^0.5)</f>
        <v>27.81</v>
      </c>
      <c r="AA122" s="3">
        <f>G122*H122/Z122*R122/100</f>
        <v>12.233009708737864</v>
      </c>
      <c r="AB122">
        <f>G122*H122*R122/100</f>
        <v>340.2</v>
      </c>
      <c r="AC122">
        <f>$AA122*T122</f>
        <v>17.126213592233007</v>
      </c>
      <c r="AD122">
        <f>$AA122*U122</f>
        <v>13.456310679611651</v>
      </c>
      <c r="AE122">
        <f>$AA122*V122</f>
        <v>11.009708737864077</v>
      </c>
    </row>
    <row r="123" spans="1:31" ht="23.25" customHeight="1" x14ac:dyDescent="0.2">
      <c r="A123" s="22" t="s">
        <v>125</v>
      </c>
      <c r="B123" s="1" t="s">
        <v>125</v>
      </c>
      <c r="C123" s="1" t="s">
        <v>1478</v>
      </c>
      <c r="D123" s="1" t="s">
        <v>1477</v>
      </c>
      <c r="E123" s="1">
        <v>3</v>
      </c>
      <c r="F123" s="1">
        <v>9</v>
      </c>
      <c r="G123" s="1">
        <v>10</v>
      </c>
      <c r="H123" s="1">
        <v>2</v>
      </c>
      <c r="I123" s="1">
        <v>1.56</v>
      </c>
      <c r="J123" s="1">
        <v>1.46</v>
      </c>
      <c r="K123" s="1">
        <v>50</v>
      </c>
      <c r="L123" s="1">
        <v>0</v>
      </c>
      <c r="M123" s="1">
        <v>5</v>
      </c>
      <c r="N123" s="1">
        <v>0</v>
      </c>
      <c r="O123" s="1" t="s">
        <v>18</v>
      </c>
      <c r="P123" s="1">
        <v>360</v>
      </c>
      <c r="Q123" s="1" t="s">
        <v>64</v>
      </c>
      <c r="R123" s="1">
        <v>125</v>
      </c>
      <c r="S123" s="1">
        <v>0</v>
      </c>
      <c r="T123" s="1">
        <v>1</v>
      </c>
      <c r="U123" s="1">
        <v>0.5</v>
      </c>
      <c r="V123" s="1">
        <v>0.2</v>
      </c>
      <c r="W123" s="1"/>
      <c r="X123" s="1"/>
      <c r="Y123" s="1"/>
      <c r="Z123" s="3">
        <f>_xlfn.IFNA(VLOOKUP(D123,附件!$B$19:$C$21,2,FALSE)+附件!$C$23,0)+S123+J123*((200/(附件!$C$25+100))^0.5)</f>
        <v>1.46</v>
      </c>
      <c r="AA123" s="3">
        <f>G123*H123/Z123*R123/100</f>
        <v>17.123287671232877</v>
      </c>
      <c r="AB123">
        <f>G123*H123*R123/100</f>
        <v>25</v>
      </c>
      <c r="AC123">
        <f>$AA123*T123</f>
        <v>17.123287671232877</v>
      </c>
      <c r="AD123">
        <f>$AA123*U123</f>
        <v>8.5616438356164384</v>
      </c>
      <c r="AE123">
        <f>$AA123*V123</f>
        <v>3.4246575342465757</v>
      </c>
    </row>
    <row r="124" spans="1:31" ht="23.25" customHeight="1" x14ac:dyDescent="0.2">
      <c r="A124" s="22" t="s">
        <v>107</v>
      </c>
      <c r="B124" s="1" t="s">
        <v>107</v>
      </c>
      <c r="C124" s="1" t="s">
        <v>1481</v>
      </c>
      <c r="D124" s="1" t="s">
        <v>1485</v>
      </c>
      <c r="E124" s="1">
        <v>11</v>
      </c>
      <c r="F124" s="1">
        <v>9</v>
      </c>
      <c r="G124" s="1">
        <v>21</v>
      </c>
      <c r="H124" s="1">
        <v>1</v>
      </c>
      <c r="I124" s="1">
        <v>1.99</v>
      </c>
      <c r="J124" s="1">
        <v>1.38</v>
      </c>
      <c r="K124" s="1">
        <v>55</v>
      </c>
      <c r="L124" s="1">
        <v>5</v>
      </c>
      <c r="M124" s="1">
        <v>25</v>
      </c>
      <c r="N124" s="1">
        <v>0</v>
      </c>
      <c r="O124" s="1" t="s">
        <v>18</v>
      </c>
      <c r="P124" s="1">
        <v>120</v>
      </c>
      <c r="Q124" s="1" t="s">
        <v>27</v>
      </c>
      <c r="R124" s="1">
        <v>110</v>
      </c>
      <c r="S124" s="1">
        <v>0</v>
      </c>
      <c r="T124" s="1">
        <v>1</v>
      </c>
      <c r="U124" s="1">
        <v>0.8</v>
      </c>
      <c r="V124" s="1">
        <v>0.6</v>
      </c>
      <c r="W124" s="1"/>
      <c r="X124" s="1"/>
      <c r="Y124" s="1"/>
      <c r="Z124" s="3">
        <f>_xlfn.IFNA(VLOOKUP(D124,附件!$B$19:$C$21,2,FALSE)+附件!$C$23,0)+S124+J124*((200/(附件!$C$25+100))^0.5)</f>
        <v>1.38</v>
      </c>
      <c r="AA124" s="3">
        <f>G124*H124/Z124*R124/100</f>
        <v>16.739130434782609</v>
      </c>
      <c r="AB124">
        <f>G124*H124*R124/100</f>
        <v>23.1</v>
      </c>
      <c r="AC124">
        <f>$AA124*T124</f>
        <v>16.739130434782609</v>
      </c>
      <c r="AD124">
        <f>$AA124*U124</f>
        <v>13.391304347826088</v>
      </c>
      <c r="AE124">
        <f>$AA124*V124</f>
        <v>10.043478260869565</v>
      </c>
    </row>
    <row r="125" spans="1:31" ht="23.25" customHeight="1" x14ac:dyDescent="0.2">
      <c r="A125" s="22" t="s">
        <v>123</v>
      </c>
      <c r="B125" s="1" t="s">
        <v>123</v>
      </c>
      <c r="C125" s="1" t="s">
        <v>1476</v>
      </c>
      <c r="D125" s="1" t="s">
        <v>1477</v>
      </c>
      <c r="E125" s="1">
        <v>6</v>
      </c>
      <c r="F125" s="1">
        <v>4</v>
      </c>
      <c r="G125" s="1">
        <v>8</v>
      </c>
      <c r="H125" s="1">
        <v>4</v>
      </c>
      <c r="I125" s="1">
        <v>2.1800000000000002</v>
      </c>
      <c r="J125" s="1">
        <v>1.88</v>
      </c>
      <c r="K125" s="1">
        <v>50</v>
      </c>
      <c r="L125" s="1">
        <v>0</v>
      </c>
      <c r="M125" s="1">
        <v>7</v>
      </c>
      <c r="N125" s="1">
        <v>5</v>
      </c>
      <c r="O125" s="1" t="s">
        <v>18</v>
      </c>
      <c r="P125" s="1">
        <v>360</v>
      </c>
      <c r="Q125" s="1" t="s">
        <v>27</v>
      </c>
      <c r="R125" s="1">
        <v>115</v>
      </c>
      <c r="S125" s="1">
        <v>0.1</v>
      </c>
      <c r="T125" s="1">
        <v>0.9</v>
      </c>
      <c r="U125" s="1">
        <v>0.7</v>
      </c>
      <c r="V125" s="1">
        <v>0.4</v>
      </c>
      <c r="W125" s="1"/>
      <c r="X125" s="1"/>
      <c r="Y125" s="1"/>
      <c r="Z125" s="3">
        <f>_xlfn.IFNA(VLOOKUP(D125,附件!$B$19:$C$21,2,FALSE)+附件!$C$23,0)+S125+J125*((200/(附件!$C$25+100))^0.5)</f>
        <v>1.98</v>
      </c>
      <c r="AA125" s="3">
        <f>G125*H125/Z125*R125/100</f>
        <v>18.585858585858588</v>
      </c>
      <c r="AB125">
        <f>G125*H125*R125/100</f>
        <v>36.799999999999997</v>
      </c>
      <c r="AC125">
        <f>$AA125*T125</f>
        <v>16.72727272727273</v>
      </c>
      <c r="AD125">
        <f>$AA125*U125</f>
        <v>13.01010101010101</v>
      </c>
      <c r="AE125">
        <f>$AA125*V125</f>
        <v>7.434343434343436</v>
      </c>
    </row>
    <row r="126" spans="1:31" ht="23.25" customHeight="1" x14ac:dyDescent="0.2">
      <c r="A126" s="22" t="s">
        <v>871</v>
      </c>
      <c r="B126" s="1" t="s">
        <v>871</v>
      </c>
      <c r="C126" s="1" t="s">
        <v>1478</v>
      </c>
      <c r="D126" s="1" t="s">
        <v>1477</v>
      </c>
      <c r="E126" s="1">
        <v>3</v>
      </c>
      <c r="F126" s="1">
        <v>6</v>
      </c>
      <c r="G126" s="1">
        <v>8</v>
      </c>
      <c r="H126" s="1">
        <v>4</v>
      </c>
      <c r="I126" s="1">
        <v>2.4500000000000002</v>
      </c>
      <c r="J126" s="1">
        <v>2.29</v>
      </c>
      <c r="K126" s="1">
        <v>50</v>
      </c>
      <c r="L126" s="1">
        <v>0</v>
      </c>
      <c r="M126" s="1">
        <v>5</v>
      </c>
      <c r="N126" s="1">
        <v>0</v>
      </c>
      <c r="O126" s="1" t="s">
        <v>18</v>
      </c>
      <c r="P126" s="1">
        <v>360</v>
      </c>
      <c r="Q126" s="1" t="s">
        <v>64</v>
      </c>
      <c r="R126" s="1">
        <v>125</v>
      </c>
      <c r="S126" s="1">
        <v>0.2</v>
      </c>
      <c r="T126" s="1">
        <v>1</v>
      </c>
      <c r="U126" s="1">
        <v>0.5</v>
      </c>
      <c r="V126" s="1">
        <v>0.2</v>
      </c>
      <c r="W126" s="1"/>
      <c r="X126" s="1"/>
      <c r="Y126" s="1"/>
      <c r="Z126" s="3">
        <f>_xlfn.IFNA(VLOOKUP(D126,附件!$B$19:$C$21,2,FALSE)+附件!$C$23,0)+S126+J126*((200/(附件!$C$25+100))^0.5)</f>
        <v>2.4900000000000002</v>
      </c>
      <c r="AA126" s="3">
        <f>G126*H126/Z126*R126/100</f>
        <v>16.064257028112447</v>
      </c>
      <c r="AB126">
        <f>G126*H126*R126/100</f>
        <v>40</v>
      </c>
      <c r="AC126">
        <f>$AA126*T126</f>
        <v>16.064257028112447</v>
      </c>
      <c r="AD126">
        <f>$AA126*U126</f>
        <v>8.0321285140562235</v>
      </c>
      <c r="AE126">
        <f>$AA126*V126</f>
        <v>3.2128514056224895</v>
      </c>
    </row>
    <row r="127" spans="1:31" ht="23.25" customHeight="1" x14ac:dyDescent="0.2">
      <c r="A127" s="22" t="s">
        <v>111</v>
      </c>
      <c r="B127" s="1" t="s">
        <v>111</v>
      </c>
      <c r="C127" s="1" t="s">
        <v>1478</v>
      </c>
      <c r="D127" s="1" t="s">
        <v>1485</v>
      </c>
      <c r="E127" s="1">
        <v>3</v>
      </c>
      <c r="F127" s="1">
        <v>8</v>
      </c>
      <c r="G127" s="1">
        <v>11</v>
      </c>
      <c r="H127" s="1">
        <v>4</v>
      </c>
      <c r="I127" s="1">
        <v>3.26</v>
      </c>
      <c r="J127" s="1">
        <v>3.06</v>
      </c>
      <c r="K127" s="1">
        <v>55</v>
      </c>
      <c r="L127" s="1">
        <v>28</v>
      </c>
      <c r="M127" s="1">
        <v>5</v>
      </c>
      <c r="N127" s="1">
        <v>0</v>
      </c>
      <c r="O127" s="1" t="s">
        <v>18</v>
      </c>
      <c r="P127" s="1">
        <v>120</v>
      </c>
      <c r="Q127" s="1" t="s">
        <v>64</v>
      </c>
      <c r="R127" s="1">
        <v>110</v>
      </c>
      <c r="S127" s="1">
        <v>0</v>
      </c>
      <c r="T127" s="1">
        <v>1</v>
      </c>
      <c r="U127" s="1">
        <v>0.75</v>
      </c>
      <c r="V127" s="1">
        <v>0.4</v>
      </c>
      <c r="W127" s="1"/>
      <c r="X127" s="1"/>
      <c r="Y127" s="1"/>
      <c r="Z127" s="3">
        <f>_xlfn.IFNA(VLOOKUP(D127,附件!$B$19:$C$21,2,FALSE)+附件!$C$23,0)+S127+J127*((200/(附件!$C$25+100))^0.5)</f>
        <v>3.06</v>
      </c>
      <c r="AA127" s="3">
        <f>G127*H127/Z127*R127/100</f>
        <v>15.816993464052288</v>
      </c>
      <c r="AB127">
        <f>G127*H127*R127/100</f>
        <v>48.4</v>
      </c>
      <c r="AC127">
        <f>$AA127*T127</f>
        <v>15.816993464052288</v>
      </c>
      <c r="AD127">
        <f>$AA127*U127</f>
        <v>11.862745098039216</v>
      </c>
      <c r="AE127">
        <f>$AA127*V127</f>
        <v>6.3267973856209156</v>
      </c>
    </row>
    <row r="128" spans="1:31" ht="23.25" customHeight="1" x14ac:dyDescent="0.2">
      <c r="A128" s="22" t="s">
        <v>104</v>
      </c>
      <c r="B128" s="1" t="s">
        <v>104</v>
      </c>
      <c r="C128" s="1" t="s">
        <v>1476</v>
      </c>
      <c r="D128" s="1" t="s">
        <v>1485</v>
      </c>
      <c r="E128" s="1">
        <v>7</v>
      </c>
      <c r="F128" s="1">
        <v>10</v>
      </c>
      <c r="G128" s="1">
        <v>16</v>
      </c>
      <c r="H128" s="1">
        <v>3</v>
      </c>
      <c r="I128" s="1">
        <v>3.9</v>
      </c>
      <c r="J128" s="1">
        <v>3.34</v>
      </c>
      <c r="K128" s="1">
        <v>55</v>
      </c>
      <c r="L128" s="1">
        <v>14</v>
      </c>
      <c r="M128" s="1">
        <v>12</v>
      </c>
      <c r="N128" s="1">
        <v>0</v>
      </c>
      <c r="O128" s="1" t="s">
        <v>43</v>
      </c>
      <c r="P128" s="1">
        <v>120</v>
      </c>
      <c r="Q128" s="1" t="s">
        <v>27</v>
      </c>
      <c r="R128" s="1">
        <v>110</v>
      </c>
      <c r="S128" s="1">
        <v>0</v>
      </c>
      <c r="T128" s="1">
        <v>1</v>
      </c>
      <c r="U128" s="1">
        <v>0.8</v>
      </c>
      <c r="V128" s="1">
        <v>0.6</v>
      </c>
      <c r="W128" s="1"/>
      <c r="X128" s="1"/>
      <c r="Y128" s="1"/>
      <c r="Z128" s="3">
        <f>_xlfn.IFNA(VLOOKUP(D128,附件!$B$19:$C$21,2,FALSE)+附件!$C$23,0)+S128+J128*((200/(附件!$C$25+100))^0.5)</f>
        <v>3.34</v>
      </c>
      <c r="AA128" s="3">
        <f>G128*H128/Z128*R128/100</f>
        <v>15.808383233532936</v>
      </c>
      <c r="AB128">
        <f>G128*H128*R128/100</f>
        <v>52.8</v>
      </c>
      <c r="AC128">
        <f>$AA128*T128</f>
        <v>15.808383233532936</v>
      </c>
      <c r="AD128">
        <f>$AA128*U128</f>
        <v>12.646706586826349</v>
      </c>
      <c r="AE128">
        <f>$AA128*V128</f>
        <v>9.4850299401197606</v>
      </c>
    </row>
    <row r="129" spans="1:31" ht="23.25" customHeight="1" x14ac:dyDescent="0.2">
      <c r="A129" s="22" t="s">
        <v>63</v>
      </c>
      <c r="B129" s="1" t="s">
        <v>63</v>
      </c>
      <c r="C129" s="1" t="s">
        <v>1478</v>
      </c>
      <c r="D129" s="1" t="s">
        <v>1534</v>
      </c>
      <c r="E129" s="1">
        <v>3</v>
      </c>
      <c r="F129" s="1">
        <v>30</v>
      </c>
      <c r="G129" s="1">
        <v>36</v>
      </c>
      <c r="H129" s="1">
        <v>6</v>
      </c>
      <c r="I129" s="1">
        <v>11.64</v>
      </c>
      <c r="J129" s="1">
        <v>10.94</v>
      </c>
      <c r="K129" s="1">
        <v>70</v>
      </c>
      <c r="L129" s="1">
        <v>25</v>
      </c>
      <c r="M129" s="1">
        <v>5</v>
      </c>
      <c r="N129" s="1">
        <v>0</v>
      </c>
      <c r="O129" s="1" t="s">
        <v>53</v>
      </c>
      <c r="P129" s="1">
        <v>40</v>
      </c>
      <c r="Q129" s="1" t="s">
        <v>27</v>
      </c>
      <c r="R129" s="1">
        <v>110</v>
      </c>
      <c r="S129" s="1">
        <v>0.5</v>
      </c>
      <c r="T129" s="1">
        <v>0.75</v>
      </c>
      <c r="U129" s="1">
        <v>1.1000000000000001</v>
      </c>
      <c r="V129" s="1">
        <v>0.75</v>
      </c>
      <c r="W129" s="1"/>
      <c r="X129" s="1"/>
      <c r="Y129" s="1"/>
      <c r="Z129" s="3">
        <f>_xlfn.IFNA(VLOOKUP(D129,附件!$B$19:$C$21,2,FALSE)+附件!$C$23,0)+S129+J129*((200/(附件!$C$25+100))^0.5)</f>
        <v>11.44</v>
      </c>
      <c r="AA129" s="3">
        <f>G129*H129/Z129*R129/100</f>
        <v>20.76923076923077</v>
      </c>
      <c r="AB129">
        <f>G129*H129*R129/100</f>
        <v>237.6</v>
      </c>
      <c r="AC129">
        <f>$AA129*T129</f>
        <v>15.576923076923077</v>
      </c>
      <c r="AD129">
        <f>$AA129*U129</f>
        <v>22.84615384615385</v>
      </c>
      <c r="AE129">
        <f>$AA129*V129</f>
        <v>15.576923076923077</v>
      </c>
    </row>
    <row r="130" spans="1:31" ht="23.25" customHeight="1" x14ac:dyDescent="0.2">
      <c r="A130" s="22" t="s">
        <v>119</v>
      </c>
      <c r="B130" s="1" t="s">
        <v>119</v>
      </c>
      <c r="C130" s="1" t="s">
        <v>1478</v>
      </c>
      <c r="D130" s="1" t="s">
        <v>1477</v>
      </c>
      <c r="E130" s="1">
        <v>3</v>
      </c>
      <c r="F130" s="1">
        <v>4</v>
      </c>
      <c r="G130" s="1">
        <v>6</v>
      </c>
      <c r="H130" s="1">
        <v>4</v>
      </c>
      <c r="I130" s="1">
        <v>1.93</v>
      </c>
      <c r="J130" s="1">
        <v>1.85</v>
      </c>
      <c r="K130" s="1">
        <v>50</v>
      </c>
      <c r="L130" s="1">
        <v>0</v>
      </c>
      <c r="M130" s="1">
        <v>5</v>
      </c>
      <c r="N130" s="1">
        <v>0</v>
      </c>
      <c r="O130" s="1" t="s">
        <v>18</v>
      </c>
      <c r="P130" s="1">
        <v>360</v>
      </c>
      <c r="Q130" s="1" t="s">
        <v>64</v>
      </c>
      <c r="R130" s="1">
        <v>125</v>
      </c>
      <c r="S130" s="1">
        <v>0.1</v>
      </c>
      <c r="T130" s="1">
        <v>1</v>
      </c>
      <c r="U130" s="1">
        <v>0.5</v>
      </c>
      <c r="V130" s="1">
        <v>0.2</v>
      </c>
      <c r="W130" s="1"/>
      <c r="X130" s="1"/>
      <c r="Y130" s="1"/>
      <c r="Z130" s="3">
        <f>_xlfn.IFNA(VLOOKUP(D130,附件!$B$19:$C$21,2,FALSE)+附件!$C$23,0)+S130+J130*((200/(附件!$C$25+100))^0.5)</f>
        <v>1.9500000000000002</v>
      </c>
      <c r="AA130" s="3">
        <f>G130*H130/Z130*R130/100</f>
        <v>15.384615384615383</v>
      </c>
      <c r="AB130">
        <f>G130*H130*R130/100</f>
        <v>30</v>
      </c>
      <c r="AC130">
        <f>$AA130*T130</f>
        <v>15.384615384615383</v>
      </c>
      <c r="AD130">
        <f>$AA130*U130</f>
        <v>7.6923076923076916</v>
      </c>
      <c r="AE130">
        <f>$AA130*V130</f>
        <v>3.0769230769230766</v>
      </c>
    </row>
    <row r="131" spans="1:31" ht="23.25" customHeight="1" x14ac:dyDescent="0.2">
      <c r="A131" s="22" t="s">
        <v>74</v>
      </c>
      <c r="B131" s="1" t="s">
        <v>74</v>
      </c>
      <c r="C131" s="1" t="s">
        <v>1478</v>
      </c>
      <c r="D131" s="1" t="s">
        <v>1485</v>
      </c>
      <c r="E131" s="1">
        <v>3</v>
      </c>
      <c r="F131" s="1">
        <v>7</v>
      </c>
      <c r="G131" s="1">
        <v>10</v>
      </c>
      <c r="H131" s="1">
        <v>6</v>
      </c>
      <c r="I131" s="1">
        <v>4.24</v>
      </c>
      <c r="J131" s="1">
        <v>4.1100000000000003</v>
      </c>
      <c r="K131" s="1">
        <v>55</v>
      </c>
      <c r="L131" s="1">
        <v>42</v>
      </c>
      <c r="M131" s="1">
        <v>0</v>
      </c>
      <c r="N131" s="1">
        <v>0</v>
      </c>
      <c r="O131" s="1" t="s">
        <v>43</v>
      </c>
      <c r="P131" s="1">
        <v>120</v>
      </c>
      <c r="Q131" s="1" t="s">
        <v>64</v>
      </c>
      <c r="R131" s="1">
        <v>105</v>
      </c>
      <c r="S131" s="1">
        <v>0</v>
      </c>
      <c r="T131" s="1">
        <v>1</v>
      </c>
      <c r="U131" s="1">
        <v>0.75</v>
      </c>
      <c r="V131" s="1">
        <v>0.4</v>
      </c>
      <c r="W131" s="1"/>
      <c r="X131" s="1"/>
      <c r="Y131" s="1"/>
      <c r="Z131" s="3">
        <f>_xlfn.IFNA(VLOOKUP(D131,附件!$B$19:$C$21,2,FALSE)+附件!$C$23,0)+S131+J131*((200/(附件!$C$25+100))^0.5)</f>
        <v>4.1100000000000003</v>
      </c>
      <c r="AA131" s="3">
        <f>G131*H131/Z131*R131/100</f>
        <v>15.328467153284668</v>
      </c>
      <c r="AB131">
        <f>G131*H131*R131/100</f>
        <v>63</v>
      </c>
      <c r="AC131">
        <f>$AA131*T131</f>
        <v>15.328467153284668</v>
      </c>
      <c r="AD131">
        <f>$AA131*U131</f>
        <v>11.496350364963501</v>
      </c>
      <c r="AE131">
        <f>$AA131*V131</f>
        <v>6.1313868613138673</v>
      </c>
    </row>
    <row r="132" spans="1:31" ht="23.25" customHeight="1" x14ac:dyDescent="0.2">
      <c r="A132" s="22" t="s">
        <v>48</v>
      </c>
      <c r="B132" s="1" t="s">
        <v>48</v>
      </c>
      <c r="C132" s="1" t="s">
        <v>1476</v>
      </c>
      <c r="D132" s="1" t="s">
        <v>1485</v>
      </c>
      <c r="E132" s="1">
        <v>6</v>
      </c>
      <c r="F132" s="1">
        <v>6</v>
      </c>
      <c r="G132" s="1">
        <v>12</v>
      </c>
      <c r="H132" s="1">
        <v>6</v>
      </c>
      <c r="I132" s="1">
        <v>5.53</v>
      </c>
      <c r="J132" s="1">
        <v>4.8899999999999997</v>
      </c>
      <c r="K132" s="1">
        <v>55</v>
      </c>
      <c r="L132" s="1">
        <v>18</v>
      </c>
      <c r="M132" s="1">
        <v>12</v>
      </c>
      <c r="N132" s="1">
        <v>0</v>
      </c>
      <c r="O132" s="1" t="s">
        <v>18</v>
      </c>
      <c r="P132" s="1">
        <v>120</v>
      </c>
      <c r="Q132" s="1" t="s">
        <v>64</v>
      </c>
      <c r="R132" s="1">
        <v>105</v>
      </c>
      <c r="S132" s="1">
        <v>0.15</v>
      </c>
      <c r="T132" s="1">
        <v>1</v>
      </c>
      <c r="U132" s="1">
        <v>0.75</v>
      </c>
      <c r="V132" s="1">
        <v>0.4</v>
      </c>
      <c r="W132" s="1"/>
      <c r="X132" s="1"/>
      <c r="Y132" s="1"/>
      <c r="Z132" s="3">
        <f>_xlfn.IFNA(VLOOKUP(D132,附件!$B$19:$C$21,2,FALSE)+附件!$C$23,0)+S132+J132*((200/(附件!$C$25+100))^0.5)</f>
        <v>5.04</v>
      </c>
      <c r="AA132" s="3">
        <f>G132*H132/Z132*R132/100</f>
        <v>15</v>
      </c>
      <c r="AB132">
        <f>G132*H132*R132/100</f>
        <v>75.599999999999994</v>
      </c>
      <c r="AC132">
        <f>$AA132*T132</f>
        <v>15</v>
      </c>
      <c r="AD132">
        <f>$AA132*U132</f>
        <v>11.25</v>
      </c>
      <c r="AE132">
        <f>$AA132*V132</f>
        <v>6</v>
      </c>
    </row>
    <row r="133" spans="1:31" ht="23.25" customHeight="1" x14ac:dyDescent="0.2">
      <c r="A133" s="22" t="s">
        <v>1501</v>
      </c>
      <c r="B133" s="1" t="s">
        <v>1501</v>
      </c>
      <c r="C133" s="1" t="s">
        <v>1476</v>
      </c>
      <c r="D133" s="1" t="s">
        <v>1480</v>
      </c>
      <c r="E133" s="1">
        <v>7</v>
      </c>
      <c r="F133" s="1">
        <v>46</v>
      </c>
      <c r="G133" s="1">
        <v>88</v>
      </c>
      <c r="H133" s="1">
        <v>2</v>
      </c>
      <c r="I133" s="1">
        <v>22.05</v>
      </c>
      <c r="J133" s="1">
        <v>18.100000000000001</v>
      </c>
      <c r="K133" s="1">
        <v>80</v>
      </c>
      <c r="L133" s="1">
        <v>0</v>
      </c>
      <c r="M133" s="1">
        <v>12</v>
      </c>
      <c r="N133" s="1">
        <v>0</v>
      </c>
      <c r="O133" s="1" t="s">
        <v>53</v>
      </c>
      <c r="P133" s="1">
        <v>50</v>
      </c>
      <c r="Q133" s="1" t="s">
        <v>19</v>
      </c>
      <c r="R133" s="1">
        <v>110</v>
      </c>
      <c r="S133" s="1">
        <v>0</v>
      </c>
      <c r="T133" s="1">
        <v>1.4</v>
      </c>
      <c r="U133" s="1">
        <v>1.1000000000000001</v>
      </c>
      <c r="V133" s="1">
        <v>0.9</v>
      </c>
      <c r="W133" s="1"/>
      <c r="X133" s="1"/>
      <c r="Y133" s="1"/>
      <c r="Z133" s="3">
        <f>_xlfn.IFNA(VLOOKUP(D133,附件!$B$19:$C$21,2,FALSE)+附件!$C$23,0)+S133+J133*((200/(附件!$C$25+100))^0.5)</f>
        <v>18.100000000000001</v>
      </c>
      <c r="AA133" s="3">
        <f>G133*H133/Z133*R133/100</f>
        <v>10.696132596685084</v>
      </c>
      <c r="AB133">
        <f>G133*H133*R133/100</f>
        <v>193.6</v>
      </c>
      <c r="AC133">
        <f>$AA133*T133</f>
        <v>14.974585635359116</v>
      </c>
      <c r="AD133">
        <f>$AA133*U133</f>
        <v>11.765745856353593</v>
      </c>
      <c r="AE133">
        <f>$AA133*V133</f>
        <v>9.6265193370165765</v>
      </c>
    </row>
    <row r="134" spans="1:31" ht="23.25" customHeight="1" x14ac:dyDescent="0.2">
      <c r="A134" s="22" t="s">
        <v>1529</v>
      </c>
      <c r="B134" s="1" t="s">
        <v>1529</v>
      </c>
      <c r="C134" s="1" t="s">
        <v>1476</v>
      </c>
      <c r="D134" s="1" t="s">
        <v>1485</v>
      </c>
      <c r="E134" s="1">
        <v>6</v>
      </c>
      <c r="F134" s="1">
        <v>5</v>
      </c>
      <c r="G134" s="1">
        <v>10</v>
      </c>
      <c r="H134" s="1">
        <v>6</v>
      </c>
      <c r="I134" s="1">
        <v>4.34</v>
      </c>
      <c r="J134" s="1">
        <v>4.0999999999999996</v>
      </c>
      <c r="K134" s="1">
        <v>55</v>
      </c>
      <c r="L134" s="1">
        <v>18</v>
      </c>
      <c r="M134" s="1">
        <v>12</v>
      </c>
      <c r="N134" s="1">
        <v>0</v>
      </c>
      <c r="O134" s="1" t="s">
        <v>18</v>
      </c>
      <c r="P134" s="1">
        <v>110</v>
      </c>
      <c r="Q134" s="1" t="s">
        <v>64</v>
      </c>
      <c r="R134" s="1">
        <v>105</v>
      </c>
      <c r="S134" s="1">
        <v>0.15</v>
      </c>
      <c r="T134" s="1">
        <v>1</v>
      </c>
      <c r="U134" s="1">
        <v>0.75</v>
      </c>
      <c r="V134" s="1">
        <v>0.4</v>
      </c>
      <c r="W134" s="1"/>
      <c r="X134" s="1"/>
      <c r="Y134" s="1"/>
      <c r="Z134" s="3">
        <f>_xlfn.IFNA(VLOOKUP(D134,附件!$B$19:$C$21,2,FALSE)+附件!$C$23,0)+S134+J134*((200/(附件!$C$25+100))^0.5)</f>
        <v>4.25</v>
      </c>
      <c r="AA134" s="3">
        <f>G134*H134/Z134*R134/100</f>
        <v>14.823529411764705</v>
      </c>
      <c r="AB134">
        <f>G134*H134*R134/100</f>
        <v>63</v>
      </c>
      <c r="AC134">
        <f>$AA134*T134</f>
        <v>14.823529411764705</v>
      </c>
      <c r="AD134">
        <f>$AA134*U134</f>
        <v>11.117647058823529</v>
      </c>
      <c r="AE134">
        <f>$AA134*V134</f>
        <v>5.9294117647058826</v>
      </c>
    </row>
    <row r="135" spans="1:31" ht="23.25" customHeight="1" x14ac:dyDescent="0.2">
      <c r="A135" s="22" t="s">
        <v>137</v>
      </c>
      <c r="B135" s="1" t="s">
        <v>137</v>
      </c>
      <c r="C135" s="1" t="s">
        <v>1476</v>
      </c>
      <c r="D135" s="1" t="s">
        <v>1491</v>
      </c>
      <c r="E135" s="1">
        <v>6</v>
      </c>
      <c r="F135" s="1">
        <v>26</v>
      </c>
      <c r="G135" s="1">
        <v>38</v>
      </c>
      <c r="H135" s="1">
        <v>4</v>
      </c>
      <c r="I135" s="1">
        <v>9.36</v>
      </c>
      <c r="J135" s="1">
        <v>8.1</v>
      </c>
      <c r="K135" s="1">
        <v>50</v>
      </c>
      <c r="L135" s="1">
        <v>12</v>
      </c>
      <c r="M135" s="1">
        <v>12</v>
      </c>
      <c r="N135" s="1">
        <v>0</v>
      </c>
      <c r="O135" s="1" t="s">
        <v>18</v>
      </c>
      <c r="P135" s="1">
        <v>40</v>
      </c>
      <c r="Q135" s="1" t="s">
        <v>27</v>
      </c>
      <c r="R135" s="1">
        <v>110</v>
      </c>
      <c r="S135" s="1">
        <v>0.5</v>
      </c>
      <c r="T135" s="1">
        <v>0.75</v>
      </c>
      <c r="U135" s="1">
        <v>1.1000000000000001</v>
      </c>
      <c r="V135" s="1">
        <v>0.75</v>
      </c>
      <c r="W135" s="1"/>
      <c r="X135" s="1"/>
      <c r="Y135" s="1"/>
      <c r="Z135" s="3">
        <f>_xlfn.IFNA(VLOOKUP(D135,附件!$B$19:$C$21,2,FALSE)+附件!$C$23,0)+S135+J135*((200/(附件!$C$25+100))^0.5)</f>
        <v>8.6</v>
      </c>
      <c r="AA135" s="3">
        <f>G135*H135/Z135*R135/100</f>
        <v>19.441860465116278</v>
      </c>
      <c r="AB135">
        <f>G135*H135*R135/100</f>
        <v>167.2</v>
      </c>
      <c r="AC135">
        <f>$AA135*T135</f>
        <v>14.581395348837209</v>
      </c>
      <c r="AD135">
        <f>$AA135*U135</f>
        <v>21.386046511627907</v>
      </c>
      <c r="AE135">
        <f>$AA135*V135</f>
        <v>14.581395348837209</v>
      </c>
    </row>
    <row r="136" spans="1:31" ht="23.25" customHeight="1" x14ac:dyDescent="0.2">
      <c r="A136" s="22" t="s">
        <v>1514</v>
      </c>
      <c r="B136" s="1" t="s">
        <v>1514</v>
      </c>
      <c r="C136" s="1" t="s">
        <v>1476</v>
      </c>
      <c r="D136" s="1" t="s">
        <v>1480</v>
      </c>
      <c r="E136" s="1">
        <v>6</v>
      </c>
      <c r="F136" s="1">
        <v>50</v>
      </c>
      <c r="G136" s="1">
        <v>101</v>
      </c>
      <c r="H136" s="1">
        <v>3</v>
      </c>
      <c r="I136" s="1">
        <v>33.270000000000003</v>
      </c>
      <c r="J136" s="1">
        <v>29.27</v>
      </c>
      <c r="K136" s="1">
        <v>80</v>
      </c>
      <c r="L136" s="1">
        <v>0</v>
      </c>
      <c r="M136" s="1">
        <v>12</v>
      </c>
      <c r="N136" s="1">
        <v>0</v>
      </c>
      <c r="O136" s="1" t="s">
        <v>53</v>
      </c>
      <c r="P136" s="1">
        <v>50</v>
      </c>
      <c r="Q136" s="1" t="s">
        <v>19</v>
      </c>
      <c r="R136" s="1">
        <v>100</v>
      </c>
      <c r="S136" s="1">
        <v>0</v>
      </c>
      <c r="T136" s="1">
        <v>1.4</v>
      </c>
      <c r="U136" s="1">
        <v>1.1000000000000001</v>
      </c>
      <c r="V136" s="1">
        <v>0.9</v>
      </c>
      <c r="W136" s="1"/>
      <c r="X136" s="1"/>
      <c r="Y136" s="1"/>
      <c r="Z136" s="3">
        <f>_xlfn.IFNA(VLOOKUP(D136,附件!$B$19:$C$21,2,FALSE)+附件!$C$23,0)+S136+J136*((200/(附件!$C$25+100))^0.5)</f>
        <v>29.27</v>
      </c>
      <c r="AA136" s="3">
        <f>G136*H136/Z136*R136/100</f>
        <v>10.35189613939187</v>
      </c>
      <c r="AB136">
        <f>G136*H136*R136/100</f>
        <v>303</v>
      </c>
      <c r="AC136">
        <f>$AA136*T136</f>
        <v>14.492654595148618</v>
      </c>
      <c r="AD136">
        <f>$AA136*U136</f>
        <v>11.387085753331059</v>
      </c>
      <c r="AE136">
        <f>$AA136*V136</f>
        <v>9.316706525452684</v>
      </c>
    </row>
    <row r="137" spans="1:31" ht="23.25" customHeight="1" x14ac:dyDescent="0.2">
      <c r="A137" s="22" t="s">
        <v>1489</v>
      </c>
      <c r="B137" s="1" t="s">
        <v>1489</v>
      </c>
      <c r="C137" s="1" t="s">
        <v>1481</v>
      </c>
      <c r="D137" s="1" t="s">
        <v>1477</v>
      </c>
      <c r="E137" s="1">
        <v>11</v>
      </c>
      <c r="F137" s="1">
        <v>3</v>
      </c>
      <c r="G137" s="1">
        <v>10</v>
      </c>
      <c r="H137" s="1">
        <v>2</v>
      </c>
      <c r="I137" s="1">
        <v>1.61</v>
      </c>
      <c r="J137" s="1">
        <v>1.38</v>
      </c>
      <c r="K137" s="1">
        <v>50</v>
      </c>
      <c r="L137" s="1">
        <v>15</v>
      </c>
      <c r="M137" s="1">
        <v>25</v>
      </c>
      <c r="N137" s="1">
        <v>0</v>
      </c>
      <c r="O137" s="1" t="s">
        <v>18</v>
      </c>
      <c r="P137" s="1">
        <v>120</v>
      </c>
      <c r="Q137" s="1" t="s">
        <v>64</v>
      </c>
      <c r="R137" s="1">
        <v>110</v>
      </c>
      <c r="S137" s="1">
        <v>0.15</v>
      </c>
      <c r="T137" s="1">
        <v>1</v>
      </c>
      <c r="U137" s="1">
        <v>0.5</v>
      </c>
      <c r="V137" s="1">
        <v>0.2</v>
      </c>
      <c r="W137" s="1"/>
      <c r="X137" s="1"/>
      <c r="Y137" s="1"/>
      <c r="Z137" s="3">
        <f>_xlfn.IFNA(VLOOKUP(D137,附件!$B$19:$C$21,2,FALSE)+附件!$C$23,0)+S137+J137*((200/(附件!$C$25+100))^0.5)</f>
        <v>1.5299999999999998</v>
      </c>
      <c r="AA137" s="3">
        <f>G137*H137/Z137*R137/100</f>
        <v>14.379084967320264</v>
      </c>
      <c r="AB137">
        <f>G137*H137*R137/100</f>
        <v>22</v>
      </c>
      <c r="AC137">
        <f>$AA137*T137</f>
        <v>14.379084967320264</v>
      </c>
      <c r="AD137">
        <f>$AA137*U137</f>
        <v>7.1895424836601318</v>
      </c>
      <c r="AE137">
        <f>$AA137*V137</f>
        <v>2.8758169934640527</v>
      </c>
    </row>
    <row r="138" spans="1:31" ht="23.25" customHeight="1" x14ac:dyDescent="0.2">
      <c r="A138" s="22" t="s">
        <v>1488</v>
      </c>
      <c r="B138" s="1" t="s">
        <v>1488</v>
      </c>
      <c r="C138" s="1" t="s">
        <v>1478</v>
      </c>
      <c r="D138" s="1" t="s">
        <v>1477</v>
      </c>
      <c r="E138" s="1">
        <v>3</v>
      </c>
      <c r="F138" s="1">
        <v>4</v>
      </c>
      <c r="G138" s="1">
        <v>7</v>
      </c>
      <c r="H138" s="1">
        <v>3</v>
      </c>
      <c r="I138" s="1">
        <v>1.73</v>
      </c>
      <c r="J138" s="1">
        <v>1.61</v>
      </c>
      <c r="K138" s="1">
        <v>50</v>
      </c>
      <c r="L138" s="1">
        <v>22</v>
      </c>
      <c r="M138" s="1">
        <v>5</v>
      </c>
      <c r="N138" s="1">
        <v>0</v>
      </c>
      <c r="O138" s="1" t="s">
        <v>18</v>
      </c>
      <c r="P138" s="1">
        <v>360</v>
      </c>
      <c r="Q138" s="1" t="s">
        <v>64</v>
      </c>
      <c r="R138" s="1">
        <v>125</v>
      </c>
      <c r="S138" s="1">
        <v>0.24</v>
      </c>
      <c r="T138" s="1">
        <v>1</v>
      </c>
      <c r="U138" s="1">
        <v>0.5</v>
      </c>
      <c r="V138" s="1">
        <v>0.2</v>
      </c>
      <c r="W138" s="1"/>
      <c r="X138" s="1"/>
      <c r="Y138" s="1"/>
      <c r="Z138" s="3">
        <f>_xlfn.IFNA(VLOOKUP(D138,附件!$B$19:$C$21,2,FALSE)+附件!$C$23,0)+S138+J138*((200/(附件!$C$25+100))^0.5)</f>
        <v>1.85</v>
      </c>
      <c r="AA138" s="3">
        <f>G138*H138/Z138*R138/100</f>
        <v>14.189189189189189</v>
      </c>
      <c r="AB138">
        <f>G138*H138*R138/100</f>
        <v>26.25</v>
      </c>
      <c r="AC138">
        <f>$AA138*T138</f>
        <v>14.189189189189189</v>
      </c>
      <c r="AD138">
        <f>$AA138*U138</f>
        <v>7.0945945945945947</v>
      </c>
      <c r="AE138">
        <f>$AA138*V138</f>
        <v>2.8378378378378382</v>
      </c>
    </row>
    <row r="139" spans="1:31" ht="23.25" customHeight="1" x14ac:dyDescent="0.2">
      <c r="A139" s="22" t="s">
        <v>89</v>
      </c>
      <c r="B139" s="1" t="s">
        <v>89</v>
      </c>
      <c r="C139" s="1" t="s">
        <v>1483</v>
      </c>
      <c r="D139" s="1" t="s">
        <v>1480</v>
      </c>
      <c r="E139" s="1">
        <v>13</v>
      </c>
      <c r="F139" s="1">
        <v>58</v>
      </c>
      <c r="G139" s="1">
        <v>154</v>
      </c>
      <c r="H139" s="1">
        <v>3</v>
      </c>
      <c r="I139" s="1">
        <v>30.02</v>
      </c>
      <c r="J139" s="1">
        <v>24.02</v>
      </c>
      <c r="K139" s="1">
        <v>80</v>
      </c>
      <c r="L139" s="1">
        <v>0</v>
      </c>
      <c r="M139" s="1">
        <v>45</v>
      </c>
      <c r="N139" s="1">
        <v>0</v>
      </c>
      <c r="O139" s="1" t="s">
        <v>53</v>
      </c>
      <c r="P139" s="1">
        <v>50</v>
      </c>
      <c r="Q139" s="1" t="s">
        <v>64</v>
      </c>
      <c r="R139" s="1">
        <v>105</v>
      </c>
      <c r="S139" s="1">
        <v>0</v>
      </c>
      <c r="T139" s="1">
        <v>0.7</v>
      </c>
      <c r="U139" s="1">
        <v>1</v>
      </c>
      <c r="V139" s="1">
        <v>0.9</v>
      </c>
      <c r="W139" s="1"/>
      <c r="X139" s="1"/>
      <c r="Y139" s="1"/>
      <c r="Z139" s="3">
        <f>_xlfn.IFNA(VLOOKUP(D139,附件!$B$19:$C$21,2,FALSE)+附件!$C$23,0)+S139+J139*((200/(附件!$C$25+100))^0.5)</f>
        <v>24.02</v>
      </c>
      <c r="AA139" s="3">
        <f>G139*H139/Z139*R139/100</f>
        <v>20.195670274771025</v>
      </c>
      <c r="AB139">
        <f>G139*H139*R139/100</f>
        <v>485.1</v>
      </c>
      <c r="AC139">
        <f>$AA139*T139</f>
        <v>14.136969192339716</v>
      </c>
      <c r="AD139">
        <f>$AA139*U139</f>
        <v>20.195670274771025</v>
      </c>
      <c r="AE139">
        <f>$AA139*V139</f>
        <v>18.176103247293923</v>
      </c>
    </row>
    <row r="140" spans="1:31" ht="23.25" customHeight="1" x14ac:dyDescent="0.2">
      <c r="A140" s="22" t="s">
        <v>59</v>
      </c>
      <c r="B140" s="1" t="s">
        <v>59</v>
      </c>
      <c r="C140" s="1" t="s">
        <v>1476</v>
      </c>
      <c r="D140" s="1" t="s">
        <v>1480</v>
      </c>
      <c r="E140" s="1">
        <v>6</v>
      </c>
      <c r="F140" s="1">
        <v>53</v>
      </c>
      <c r="G140" s="1">
        <v>106</v>
      </c>
      <c r="H140" s="1">
        <v>2</v>
      </c>
      <c r="I140" s="1">
        <v>26.34</v>
      </c>
      <c r="J140" s="1">
        <v>23.18</v>
      </c>
      <c r="K140" s="1">
        <v>80</v>
      </c>
      <c r="L140" s="1">
        <v>0</v>
      </c>
      <c r="M140" s="1">
        <v>12</v>
      </c>
      <c r="N140" s="1">
        <v>0</v>
      </c>
      <c r="O140" s="1" t="s">
        <v>53</v>
      </c>
      <c r="P140" s="1">
        <v>50</v>
      </c>
      <c r="Q140" s="1" t="s">
        <v>19</v>
      </c>
      <c r="R140" s="1">
        <v>110</v>
      </c>
      <c r="S140" s="1">
        <v>0</v>
      </c>
      <c r="T140" s="1">
        <v>1.4</v>
      </c>
      <c r="U140" s="1">
        <v>1.1000000000000001</v>
      </c>
      <c r="V140" s="1">
        <v>0.9</v>
      </c>
      <c r="W140" s="1"/>
      <c r="X140" s="1"/>
      <c r="Y140" s="1"/>
      <c r="Z140" s="3">
        <f>_xlfn.IFNA(VLOOKUP(D140,附件!$B$19:$C$21,2,FALSE)+附件!$C$23,0)+S140+J140*((200/(附件!$C$25+100))^0.5)</f>
        <v>23.18</v>
      </c>
      <c r="AA140" s="3">
        <f>G140*H140/Z140*R140/100</f>
        <v>10.060396893874028</v>
      </c>
      <c r="AB140">
        <f>G140*H140*R140/100</f>
        <v>233.2</v>
      </c>
      <c r="AC140">
        <f>$AA140*T140</f>
        <v>14.084555651423639</v>
      </c>
      <c r="AD140">
        <f>$AA140*U140</f>
        <v>11.066436583261432</v>
      </c>
      <c r="AE140">
        <f>$AA140*V140</f>
        <v>9.0543572044866263</v>
      </c>
    </row>
    <row r="141" spans="1:31" ht="23.25" customHeight="1" x14ac:dyDescent="0.2">
      <c r="A141" s="22" t="s">
        <v>41</v>
      </c>
      <c r="B141" s="1" t="s">
        <v>41</v>
      </c>
      <c r="C141" s="1" t="s">
        <v>1476</v>
      </c>
      <c r="D141" s="1" t="s">
        <v>1485</v>
      </c>
      <c r="E141" s="1">
        <v>7</v>
      </c>
      <c r="F141" s="1">
        <v>7</v>
      </c>
      <c r="G141" s="1">
        <v>13</v>
      </c>
      <c r="H141" s="1">
        <v>3</v>
      </c>
      <c r="I141" s="1">
        <v>5.04</v>
      </c>
      <c r="J141" s="1">
        <v>4.72</v>
      </c>
      <c r="K141" s="1">
        <v>55</v>
      </c>
      <c r="L141" s="1">
        <v>25</v>
      </c>
      <c r="M141" s="1">
        <v>12</v>
      </c>
      <c r="N141" s="1">
        <v>0</v>
      </c>
      <c r="O141" s="1" t="s">
        <v>18</v>
      </c>
      <c r="P141" s="1">
        <v>120</v>
      </c>
      <c r="Q141" s="1" t="s">
        <v>19</v>
      </c>
      <c r="R141" s="1">
        <v>125</v>
      </c>
      <c r="S141" s="1">
        <v>0.3</v>
      </c>
      <c r="T141" s="1">
        <v>1.45</v>
      </c>
      <c r="U141" s="1">
        <v>1.05</v>
      </c>
      <c r="V141" s="1">
        <v>0.7</v>
      </c>
      <c r="W141" s="1"/>
      <c r="X141" s="1"/>
      <c r="Y141" s="1"/>
      <c r="Z141" s="3">
        <f>_xlfn.IFNA(VLOOKUP(D141,附件!$B$19:$C$21,2,FALSE)+附件!$C$23,0)+S141+J141*((200/(附件!$C$25+100))^0.5)</f>
        <v>5.0199999999999996</v>
      </c>
      <c r="AA141" s="3">
        <f>G141*H141/Z141*R141/100</f>
        <v>9.7111553784860583</v>
      </c>
      <c r="AB141">
        <f>G141*H141*R141/100</f>
        <v>48.75</v>
      </c>
      <c r="AC141">
        <f>$AA141*T141</f>
        <v>14.081175298804784</v>
      </c>
      <c r="AD141">
        <f>$AA141*U141</f>
        <v>10.196713147410362</v>
      </c>
      <c r="AE141">
        <f>$AA141*V141</f>
        <v>6.7978087649402408</v>
      </c>
    </row>
    <row r="142" spans="1:31" ht="23.25" customHeight="1" x14ac:dyDescent="0.2">
      <c r="A142" s="22" t="s">
        <v>56</v>
      </c>
      <c r="B142" s="1" t="s">
        <v>56</v>
      </c>
      <c r="C142" s="1" t="s">
        <v>1476</v>
      </c>
      <c r="D142" s="1" t="s">
        <v>1480</v>
      </c>
      <c r="E142" s="1">
        <v>7</v>
      </c>
      <c r="F142" s="1">
        <v>46</v>
      </c>
      <c r="G142" s="1">
        <v>88</v>
      </c>
      <c r="H142" s="1">
        <v>2</v>
      </c>
      <c r="I142" s="1">
        <v>21.89</v>
      </c>
      <c r="J142" s="1">
        <v>19.27</v>
      </c>
      <c r="K142" s="1">
        <v>80</v>
      </c>
      <c r="L142" s="1">
        <v>0</v>
      </c>
      <c r="M142" s="1">
        <v>12</v>
      </c>
      <c r="N142" s="1">
        <v>0</v>
      </c>
      <c r="O142" s="1" t="s">
        <v>53</v>
      </c>
      <c r="P142" s="1">
        <v>50</v>
      </c>
      <c r="Q142" s="1" t="s">
        <v>19</v>
      </c>
      <c r="R142" s="1">
        <v>110</v>
      </c>
      <c r="S142" s="1">
        <v>0</v>
      </c>
      <c r="T142" s="1">
        <v>1.4</v>
      </c>
      <c r="U142" s="1">
        <v>1.1000000000000001</v>
      </c>
      <c r="V142" s="1">
        <v>0.9</v>
      </c>
      <c r="W142" s="1"/>
      <c r="X142" s="1"/>
      <c r="Y142" s="1"/>
      <c r="Z142" s="3">
        <f>_xlfn.IFNA(VLOOKUP(D142,附件!$B$19:$C$21,2,FALSE)+附件!$C$23,0)+S142+J142*((200/(附件!$C$25+100))^0.5)</f>
        <v>19.27</v>
      </c>
      <c r="AA142" s="3">
        <f>G142*H142/Z142*R142/100</f>
        <v>10.046704722366373</v>
      </c>
      <c r="AB142">
        <f>G142*H142*R142/100</f>
        <v>193.6</v>
      </c>
      <c r="AC142">
        <f>$AA142*T142</f>
        <v>14.06538661131292</v>
      </c>
      <c r="AD142">
        <f>$AA142*U142</f>
        <v>11.051375194603011</v>
      </c>
      <c r="AE142">
        <f>$AA142*V142</f>
        <v>9.0420342501297366</v>
      </c>
    </row>
    <row r="143" spans="1:31" ht="23.25" customHeight="1" x14ac:dyDescent="0.2">
      <c r="A143" s="22" t="s">
        <v>110</v>
      </c>
      <c r="B143" s="1" t="s">
        <v>110</v>
      </c>
      <c r="C143" s="1" t="s">
        <v>1478</v>
      </c>
      <c r="D143" s="1" t="s">
        <v>1485</v>
      </c>
      <c r="E143" s="1">
        <v>3</v>
      </c>
      <c r="F143" s="1">
        <v>7</v>
      </c>
      <c r="G143" s="1">
        <v>10</v>
      </c>
      <c r="H143" s="1">
        <v>4</v>
      </c>
      <c r="I143" s="1">
        <v>3.33</v>
      </c>
      <c r="J143" s="1">
        <v>3.13</v>
      </c>
      <c r="K143" s="1">
        <v>55</v>
      </c>
      <c r="L143" s="1">
        <v>28</v>
      </c>
      <c r="M143" s="1">
        <v>0</v>
      </c>
      <c r="N143" s="1">
        <v>0</v>
      </c>
      <c r="O143" s="1" t="s">
        <v>18</v>
      </c>
      <c r="P143" s="1">
        <v>120</v>
      </c>
      <c r="Q143" s="1" t="s">
        <v>64</v>
      </c>
      <c r="R143" s="1">
        <v>110</v>
      </c>
      <c r="S143" s="1">
        <v>0</v>
      </c>
      <c r="T143" s="1">
        <v>1</v>
      </c>
      <c r="U143" s="1">
        <v>0.75</v>
      </c>
      <c r="V143" s="1">
        <v>0.4</v>
      </c>
      <c r="W143" s="1"/>
      <c r="X143" s="1"/>
      <c r="Y143" s="1"/>
      <c r="Z143" s="3">
        <f>_xlfn.IFNA(VLOOKUP(D143,附件!$B$19:$C$21,2,FALSE)+附件!$C$23,0)+S143+J143*((200/(附件!$C$25+100))^0.5)</f>
        <v>3.13</v>
      </c>
      <c r="AA143" s="3">
        <f>G143*H143/Z143*R143/100</f>
        <v>14.057507987220449</v>
      </c>
      <c r="AB143">
        <f>G143*H143*R143/100</f>
        <v>44</v>
      </c>
      <c r="AC143">
        <f>$AA143*T143</f>
        <v>14.057507987220449</v>
      </c>
      <c r="AD143">
        <f>$AA143*U143</f>
        <v>10.543130990415337</v>
      </c>
      <c r="AE143">
        <f>$AA143*V143</f>
        <v>5.62300319488818</v>
      </c>
    </row>
    <row r="144" spans="1:31" ht="23.25" customHeight="1" x14ac:dyDescent="0.2">
      <c r="A144" s="22" t="s">
        <v>136</v>
      </c>
      <c r="B144" s="1" t="s">
        <v>136</v>
      </c>
      <c r="C144" s="1" t="s">
        <v>1478</v>
      </c>
      <c r="D144" s="1" t="s">
        <v>1491</v>
      </c>
      <c r="E144" s="1">
        <v>3</v>
      </c>
      <c r="F144" s="1">
        <v>24</v>
      </c>
      <c r="G144" s="1">
        <v>30</v>
      </c>
      <c r="H144" s="1">
        <v>4</v>
      </c>
      <c r="I144" s="1">
        <v>9.7799999999999994</v>
      </c>
      <c r="J144" s="1">
        <v>9.15</v>
      </c>
      <c r="K144" s="1">
        <v>50</v>
      </c>
      <c r="L144" s="1">
        <v>12</v>
      </c>
      <c r="M144" s="1">
        <v>5</v>
      </c>
      <c r="N144" s="1">
        <v>0</v>
      </c>
      <c r="O144" s="1" t="s">
        <v>18</v>
      </c>
      <c r="P144" s="1">
        <v>40</v>
      </c>
      <c r="Q144" s="1" t="s">
        <v>64</v>
      </c>
      <c r="R144" s="1">
        <v>110</v>
      </c>
      <c r="S144" s="1">
        <v>0.5</v>
      </c>
      <c r="T144" s="1">
        <v>1</v>
      </c>
      <c r="U144" s="1">
        <v>0.9</v>
      </c>
      <c r="V144" s="1">
        <v>0.5</v>
      </c>
      <c r="W144" s="1"/>
      <c r="X144" s="1"/>
      <c r="Y144" s="1"/>
      <c r="Z144" s="3">
        <f>_xlfn.IFNA(VLOOKUP(D144,附件!$B$19:$C$21,2,FALSE)+附件!$C$23,0)+S144+J144*((200/(附件!$C$25+100))^0.5)</f>
        <v>9.65</v>
      </c>
      <c r="AA144" s="3">
        <f>G144*H144/Z144*R144/100</f>
        <v>13.678756476683938</v>
      </c>
      <c r="AB144">
        <f>G144*H144*R144/100</f>
        <v>132</v>
      </c>
      <c r="AC144">
        <f>$AA144*T144</f>
        <v>13.678756476683938</v>
      </c>
      <c r="AD144">
        <f>$AA144*U144</f>
        <v>12.310880829015545</v>
      </c>
      <c r="AE144">
        <f>$AA144*V144</f>
        <v>6.8393782383419692</v>
      </c>
    </row>
    <row r="145" spans="1:31" ht="23.25" customHeight="1" x14ac:dyDescent="0.2">
      <c r="A145" s="22" t="s">
        <v>86</v>
      </c>
      <c r="B145" s="1" t="s">
        <v>86</v>
      </c>
      <c r="C145" s="1" t="s">
        <v>1476</v>
      </c>
      <c r="D145" s="1" t="s">
        <v>1480</v>
      </c>
      <c r="E145" s="1">
        <v>7</v>
      </c>
      <c r="F145" s="1">
        <v>48</v>
      </c>
      <c r="G145" s="1">
        <v>84</v>
      </c>
      <c r="H145" s="1">
        <v>3</v>
      </c>
      <c r="I145" s="1">
        <v>29.61</v>
      </c>
      <c r="J145" s="1">
        <v>27.11</v>
      </c>
      <c r="K145" s="1">
        <v>80</v>
      </c>
      <c r="L145" s="1">
        <v>0</v>
      </c>
      <c r="M145" s="1">
        <v>12</v>
      </c>
      <c r="N145" s="1">
        <v>0</v>
      </c>
      <c r="O145" s="1" t="s">
        <v>53</v>
      </c>
      <c r="P145" s="1">
        <v>50</v>
      </c>
      <c r="Q145" s="1" t="s">
        <v>19</v>
      </c>
      <c r="R145" s="1">
        <v>105</v>
      </c>
      <c r="S145" s="1">
        <v>0</v>
      </c>
      <c r="T145" s="1">
        <v>1.4</v>
      </c>
      <c r="U145" s="1">
        <v>1.1000000000000001</v>
      </c>
      <c r="V145" s="1">
        <v>0.9</v>
      </c>
      <c r="W145" s="1"/>
      <c r="X145" s="1"/>
      <c r="Y145" s="1"/>
      <c r="Z145" s="3">
        <f>_xlfn.IFNA(VLOOKUP(D145,附件!$B$19:$C$21,2,FALSE)+附件!$C$23,0)+S145+J145*((200/(附件!$C$25+100))^0.5)</f>
        <v>27.11</v>
      </c>
      <c r="AA145" s="3">
        <f>G145*H145/Z145*R145/100</f>
        <v>9.7602360752489865</v>
      </c>
      <c r="AB145">
        <f>G145*H145*R145/100</f>
        <v>264.60000000000002</v>
      </c>
      <c r="AC145">
        <f>$AA145*T145</f>
        <v>13.66433050534858</v>
      </c>
      <c r="AD145">
        <f>$AA145*U145</f>
        <v>10.736259682773886</v>
      </c>
      <c r="AE145">
        <f>$AA145*V145</f>
        <v>8.7842124677240889</v>
      </c>
    </row>
    <row r="146" spans="1:31" ht="23.25" customHeight="1" x14ac:dyDescent="0.2">
      <c r="A146" s="22" t="s">
        <v>1507</v>
      </c>
      <c r="B146" s="1" t="s">
        <v>1507</v>
      </c>
      <c r="C146" s="1" t="s">
        <v>1483</v>
      </c>
      <c r="D146" s="1" t="s">
        <v>1480</v>
      </c>
      <c r="E146" s="1">
        <v>10</v>
      </c>
      <c r="F146" s="1">
        <v>66</v>
      </c>
      <c r="G146" s="1">
        <v>198</v>
      </c>
      <c r="H146" s="1">
        <v>3</v>
      </c>
      <c r="I146" s="1">
        <v>38.479999999999997</v>
      </c>
      <c r="J146" s="1">
        <v>32.630000000000003</v>
      </c>
      <c r="K146" s="1">
        <v>80</v>
      </c>
      <c r="L146" s="1">
        <v>0</v>
      </c>
      <c r="M146" s="1">
        <v>45</v>
      </c>
      <c r="N146" s="1">
        <v>0</v>
      </c>
      <c r="O146" s="1" t="s">
        <v>53</v>
      </c>
      <c r="P146" s="1">
        <v>50</v>
      </c>
      <c r="Q146" s="1" t="s">
        <v>64</v>
      </c>
      <c r="R146" s="1">
        <v>105</v>
      </c>
      <c r="S146" s="1">
        <v>0</v>
      </c>
      <c r="T146" s="1">
        <v>0.7</v>
      </c>
      <c r="U146" s="1">
        <v>1</v>
      </c>
      <c r="V146" s="1">
        <v>0.9</v>
      </c>
      <c r="W146" s="1"/>
      <c r="X146" s="1"/>
      <c r="Y146" s="1"/>
      <c r="Z146" s="3">
        <f>_xlfn.IFNA(VLOOKUP(D146,附件!$B$19:$C$21,2,FALSE)+附件!$C$23,0)+S146+J146*((200/(附件!$C$25+100))^0.5)</f>
        <v>32.630000000000003</v>
      </c>
      <c r="AA146" s="3">
        <f>G146*H146/Z146*R146/100</f>
        <v>19.114311982837876</v>
      </c>
      <c r="AB146">
        <f>G146*H146*R146/100</f>
        <v>623.70000000000005</v>
      </c>
      <c r="AC146">
        <f>$AA146*T146</f>
        <v>13.380018387986512</v>
      </c>
      <c r="AD146">
        <f>$AA146*U146</f>
        <v>19.114311982837876</v>
      </c>
      <c r="AE146">
        <f>$AA146*V146</f>
        <v>17.20288078455409</v>
      </c>
    </row>
    <row r="147" spans="1:31" ht="23.25" customHeight="1" x14ac:dyDescent="0.2">
      <c r="A147" s="22" t="s">
        <v>49</v>
      </c>
      <c r="B147" s="1" t="s">
        <v>49</v>
      </c>
      <c r="C147" s="1" t="s">
        <v>1478</v>
      </c>
      <c r="D147" s="1" t="s">
        <v>1491</v>
      </c>
      <c r="E147" s="1">
        <v>3</v>
      </c>
      <c r="F147" s="1">
        <v>22</v>
      </c>
      <c r="G147" s="1">
        <v>28</v>
      </c>
      <c r="H147" s="1">
        <v>4</v>
      </c>
      <c r="I147" s="1">
        <v>9.3800000000000008</v>
      </c>
      <c r="J147" s="1">
        <v>8.7799999999999994</v>
      </c>
      <c r="K147" s="1">
        <v>50</v>
      </c>
      <c r="L147" s="1">
        <v>12</v>
      </c>
      <c r="M147" s="1">
        <v>5</v>
      </c>
      <c r="N147" s="1">
        <v>0</v>
      </c>
      <c r="O147" s="1" t="s">
        <v>18</v>
      </c>
      <c r="P147" s="1">
        <v>40</v>
      </c>
      <c r="Q147" s="1" t="s">
        <v>64</v>
      </c>
      <c r="R147" s="1">
        <v>110</v>
      </c>
      <c r="S147" s="1">
        <v>0.5</v>
      </c>
      <c r="T147" s="1">
        <v>1</v>
      </c>
      <c r="U147" s="1">
        <v>0.9</v>
      </c>
      <c r="V147" s="1">
        <v>0.5</v>
      </c>
      <c r="W147" s="1"/>
      <c r="X147" s="1"/>
      <c r="Y147" s="1"/>
      <c r="Z147" s="3">
        <f>_xlfn.IFNA(VLOOKUP(D147,附件!$B$19:$C$21,2,FALSE)+附件!$C$23,0)+S147+J147*((200/(附件!$C$25+100))^0.5)</f>
        <v>9.2799999999999994</v>
      </c>
      <c r="AA147" s="3">
        <f>G147*H147/Z147*R147/100</f>
        <v>13.275862068965518</v>
      </c>
      <c r="AB147">
        <f>G147*H147*R147/100</f>
        <v>123.2</v>
      </c>
      <c r="AC147">
        <f>$AA147*T147</f>
        <v>13.275862068965518</v>
      </c>
      <c r="AD147">
        <f>$AA147*U147</f>
        <v>11.948275862068966</v>
      </c>
      <c r="AE147">
        <f>$AA147*V147</f>
        <v>6.6379310344827589</v>
      </c>
    </row>
    <row r="148" spans="1:31" ht="23.25" customHeight="1" x14ac:dyDescent="0.2">
      <c r="A148" s="22" t="s">
        <v>1517</v>
      </c>
      <c r="B148" s="1" t="s">
        <v>1517</v>
      </c>
      <c r="C148" s="1" t="s">
        <v>1478</v>
      </c>
      <c r="D148" s="1" t="s">
        <v>1477</v>
      </c>
      <c r="E148" s="1">
        <v>3</v>
      </c>
      <c r="F148" s="1">
        <v>3</v>
      </c>
      <c r="G148" s="1">
        <v>5</v>
      </c>
      <c r="H148" s="1">
        <v>5</v>
      </c>
      <c r="I148" s="1">
        <v>2</v>
      </c>
      <c r="J148" s="1">
        <v>1.88</v>
      </c>
      <c r="K148" s="1">
        <v>50</v>
      </c>
      <c r="L148" s="1">
        <v>15</v>
      </c>
      <c r="M148" s="1">
        <v>5</v>
      </c>
      <c r="N148" s="1">
        <v>0</v>
      </c>
      <c r="O148" s="1" t="s">
        <v>18</v>
      </c>
      <c r="P148" s="1">
        <v>360</v>
      </c>
      <c r="Q148" s="1" t="s">
        <v>64</v>
      </c>
      <c r="R148" s="1">
        <v>110</v>
      </c>
      <c r="S148" s="1">
        <v>0.2</v>
      </c>
      <c r="T148" s="1">
        <v>1</v>
      </c>
      <c r="U148" s="1">
        <v>0.5</v>
      </c>
      <c r="V148" s="1">
        <v>0.2</v>
      </c>
      <c r="W148" s="1"/>
      <c r="X148" s="1"/>
      <c r="Y148" s="1"/>
      <c r="Z148" s="3">
        <f>_xlfn.IFNA(VLOOKUP(D148,附件!$B$19:$C$21,2,FALSE)+附件!$C$23,0)+S148+J148*((200/(附件!$C$25+100))^0.5)</f>
        <v>2.08</v>
      </c>
      <c r="AA148" s="3">
        <f>G148*H148/Z148*R148/100</f>
        <v>13.221153846153845</v>
      </c>
      <c r="AB148">
        <f>G148*H148*R148/100</f>
        <v>27.5</v>
      </c>
      <c r="AC148">
        <f>$AA148*T148</f>
        <v>13.221153846153845</v>
      </c>
      <c r="AD148">
        <f>$AA148*U148</f>
        <v>6.6105769230769225</v>
      </c>
      <c r="AE148">
        <f>$AA148*V148</f>
        <v>2.6442307692307692</v>
      </c>
    </row>
    <row r="149" spans="1:31" ht="23.25" customHeight="1" x14ac:dyDescent="0.2">
      <c r="A149" s="22" t="s">
        <v>62</v>
      </c>
      <c r="B149" s="1" t="s">
        <v>62</v>
      </c>
      <c r="C149" s="1" t="s">
        <v>1476</v>
      </c>
      <c r="D149" s="1" t="s">
        <v>1477</v>
      </c>
      <c r="E149" s="1">
        <v>7</v>
      </c>
      <c r="F149" s="1">
        <v>3</v>
      </c>
      <c r="G149" s="1">
        <v>7</v>
      </c>
      <c r="H149" s="1">
        <v>1</v>
      </c>
      <c r="I149" s="1">
        <v>0.76</v>
      </c>
      <c r="J149" s="1">
        <v>0.67</v>
      </c>
      <c r="K149" s="1">
        <v>40</v>
      </c>
      <c r="L149" s="1">
        <v>5</v>
      </c>
      <c r="M149" s="1">
        <v>12</v>
      </c>
      <c r="N149" s="1">
        <v>0</v>
      </c>
      <c r="O149" s="1" t="s">
        <v>18</v>
      </c>
      <c r="P149" s="1">
        <v>360</v>
      </c>
      <c r="Q149" s="1" t="s">
        <v>64</v>
      </c>
      <c r="R149" s="1">
        <v>125</v>
      </c>
      <c r="S149" s="1">
        <v>0</v>
      </c>
      <c r="T149" s="1">
        <v>1</v>
      </c>
      <c r="U149" s="1">
        <v>0.6</v>
      </c>
      <c r="V149" s="1">
        <v>0.2</v>
      </c>
      <c r="W149" s="1"/>
      <c r="X149" s="1"/>
      <c r="Y149" s="1"/>
      <c r="Z149" s="3">
        <f>_xlfn.IFNA(VLOOKUP(D149,附件!$B$19:$C$21,2,FALSE)+附件!$C$23,0)+S149+J149*((200/(附件!$C$25+100))^0.5)</f>
        <v>0.67</v>
      </c>
      <c r="AA149" s="3">
        <f>G149*H149/Z149*R149/100</f>
        <v>13.059701492537313</v>
      </c>
      <c r="AB149">
        <f>G149*H149*R149/100</f>
        <v>8.75</v>
      </c>
      <c r="AC149">
        <f>$AA149*T149</f>
        <v>13.059701492537313</v>
      </c>
      <c r="AD149">
        <f>$AA149*U149</f>
        <v>7.8358208955223869</v>
      </c>
      <c r="AE149">
        <f>$AA149*V149</f>
        <v>2.6119402985074629</v>
      </c>
    </row>
    <row r="150" spans="1:31" ht="23.25" customHeight="1" x14ac:dyDescent="0.2">
      <c r="A150" s="22" t="s">
        <v>82</v>
      </c>
      <c r="B150" s="1" t="s">
        <v>82</v>
      </c>
      <c r="C150" s="1" t="s">
        <v>1478</v>
      </c>
      <c r="D150" s="1" t="s">
        <v>1491</v>
      </c>
      <c r="E150" s="1">
        <v>3</v>
      </c>
      <c r="F150" s="1">
        <v>24</v>
      </c>
      <c r="G150" s="1">
        <v>30</v>
      </c>
      <c r="H150" s="1">
        <v>3</v>
      </c>
      <c r="I150" s="1">
        <v>7.74</v>
      </c>
      <c r="J150" s="1">
        <v>7.28</v>
      </c>
      <c r="K150" s="1">
        <v>50</v>
      </c>
      <c r="L150" s="1">
        <v>30</v>
      </c>
      <c r="M150" s="1">
        <v>5</v>
      </c>
      <c r="N150" s="1">
        <v>0</v>
      </c>
      <c r="O150" s="1" t="s">
        <v>18</v>
      </c>
      <c r="P150" s="1">
        <v>40</v>
      </c>
      <c r="Q150" s="1" t="s">
        <v>64</v>
      </c>
      <c r="R150" s="1">
        <v>105</v>
      </c>
      <c r="S150" s="1">
        <v>0</v>
      </c>
      <c r="T150" s="1">
        <v>1</v>
      </c>
      <c r="U150" s="1">
        <v>0.9</v>
      </c>
      <c r="V150" s="1">
        <v>0.5</v>
      </c>
      <c r="W150" s="1"/>
      <c r="X150" s="1"/>
      <c r="Y150" s="1"/>
      <c r="Z150" s="3">
        <f>_xlfn.IFNA(VLOOKUP(D150,附件!$B$19:$C$21,2,FALSE)+附件!$C$23,0)+S150+J150*((200/(附件!$C$25+100))^0.5)</f>
        <v>7.28</v>
      </c>
      <c r="AA150" s="3">
        <f>G150*H150/Z150*R150/100</f>
        <v>12.980769230769228</v>
      </c>
      <c r="AB150">
        <f>G150*H150*R150/100</f>
        <v>94.5</v>
      </c>
      <c r="AC150">
        <f>$AA150*T150</f>
        <v>12.980769230769228</v>
      </c>
      <c r="AD150">
        <f>$AA150*U150</f>
        <v>11.682692307692305</v>
      </c>
      <c r="AE150">
        <f>$AA150*V150</f>
        <v>6.4903846153846141</v>
      </c>
    </row>
    <row r="151" spans="1:31" ht="23.25" customHeight="1" x14ac:dyDescent="0.2">
      <c r="A151" s="22" t="s">
        <v>80</v>
      </c>
      <c r="B151" s="1" t="s">
        <v>80</v>
      </c>
      <c r="C151" s="1" t="s">
        <v>1478</v>
      </c>
      <c r="D151" s="1" t="s">
        <v>1491</v>
      </c>
      <c r="E151" s="1">
        <v>3</v>
      </c>
      <c r="F151" s="1">
        <v>24</v>
      </c>
      <c r="G151" s="1">
        <v>30</v>
      </c>
      <c r="H151" s="1">
        <v>3</v>
      </c>
      <c r="I151" s="1">
        <v>7.75</v>
      </c>
      <c r="J151" s="1">
        <v>7.29</v>
      </c>
      <c r="K151" s="1">
        <v>50</v>
      </c>
      <c r="L151" s="1">
        <v>30</v>
      </c>
      <c r="M151" s="1">
        <v>5</v>
      </c>
      <c r="N151" s="1">
        <v>0</v>
      </c>
      <c r="O151" s="1" t="s">
        <v>18</v>
      </c>
      <c r="P151" s="1">
        <v>40</v>
      </c>
      <c r="Q151" s="1" t="s">
        <v>64</v>
      </c>
      <c r="R151" s="1">
        <v>105</v>
      </c>
      <c r="S151" s="1">
        <v>0</v>
      </c>
      <c r="T151" s="1">
        <v>1</v>
      </c>
      <c r="U151" s="1">
        <v>0.9</v>
      </c>
      <c r="V151" s="1">
        <v>0.5</v>
      </c>
      <c r="W151" s="1"/>
      <c r="X151" s="1"/>
      <c r="Y151" s="1"/>
      <c r="Z151" s="3">
        <f>_xlfn.IFNA(VLOOKUP(D151,附件!$B$19:$C$21,2,FALSE)+附件!$C$23,0)+S151+J151*((200/(附件!$C$25+100))^0.5)</f>
        <v>7.29</v>
      </c>
      <c r="AA151" s="3">
        <f>G151*H151/Z151*R151/100</f>
        <v>12.962962962962964</v>
      </c>
      <c r="AB151">
        <f>G151*H151*R151/100</f>
        <v>94.5</v>
      </c>
      <c r="AC151">
        <f>$AA151*T151</f>
        <v>12.962962962962964</v>
      </c>
      <c r="AD151">
        <f>$AA151*U151</f>
        <v>11.666666666666668</v>
      </c>
      <c r="AE151">
        <f>$AA151*V151</f>
        <v>6.4814814814814818</v>
      </c>
    </row>
    <row r="152" spans="1:31" ht="23.25" customHeight="1" x14ac:dyDescent="0.2">
      <c r="A152" s="22" t="s">
        <v>76</v>
      </c>
      <c r="B152" s="1" t="s">
        <v>76</v>
      </c>
      <c r="C152" s="1" t="s">
        <v>1478</v>
      </c>
      <c r="D152" s="1" t="s">
        <v>1485</v>
      </c>
      <c r="E152" s="1">
        <v>3</v>
      </c>
      <c r="F152" s="1">
        <v>8</v>
      </c>
      <c r="G152" s="1">
        <v>11</v>
      </c>
      <c r="H152" s="1">
        <v>6</v>
      </c>
      <c r="I152" s="1">
        <v>5.71</v>
      </c>
      <c r="J152" s="1">
        <v>5.36</v>
      </c>
      <c r="K152" s="1">
        <v>55</v>
      </c>
      <c r="L152" s="1">
        <v>42</v>
      </c>
      <c r="M152" s="1">
        <v>5</v>
      </c>
      <c r="N152" s="1">
        <v>0</v>
      </c>
      <c r="O152" s="1" t="s">
        <v>18</v>
      </c>
      <c r="P152" s="1">
        <v>120</v>
      </c>
      <c r="Q152" s="1" t="s">
        <v>27</v>
      </c>
      <c r="R152" s="1">
        <v>105</v>
      </c>
      <c r="S152" s="1">
        <v>0</v>
      </c>
      <c r="T152" s="1">
        <v>1</v>
      </c>
      <c r="U152" s="1">
        <v>0.8</v>
      </c>
      <c r="V152" s="1">
        <v>0.6</v>
      </c>
      <c r="W152" s="1"/>
      <c r="X152" s="1"/>
      <c r="Y152" s="1"/>
      <c r="Z152" s="3">
        <f>_xlfn.IFNA(VLOOKUP(D152,附件!$B$19:$C$21,2,FALSE)+附件!$C$23,0)+S152+J152*((200/(附件!$C$25+100))^0.5)</f>
        <v>5.36</v>
      </c>
      <c r="AA152" s="3">
        <f>G152*H152/Z152*R152/100</f>
        <v>12.929104477611938</v>
      </c>
      <c r="AB152">
        <f>G152*H152*R152/100</f>
        <v>69.3</v>
      </c>
      <c r="AC152">
        <f>$AA152*T152</f>
        <v>12.929104477611938</v>
      </c>
      <c r="AD152">
        <f>$AA152*U152</f>
        <v>10.343283582089551</v>
      </c>
      <c r="AE152">
        <f>$AA152*V152</f>
        <v>7.7574626865671625</v>
      </c>
    </row>
    <row r="153" spans="1:31" ht="23.25" customHeight="1" x14ac:dyDescent="0.2">
      <c r="A153" s="22" t="s">
        <v>23</v>
      </c>
      <c r="B153" s="1" t="s">
        <v>23</v>
      </c>
      <c r="C153" s="1" t="s">
        <v>1478</v>
      </c>
      <c r="D153" s="1" t="s">
        <v>1477</v>
      </c>
      <c r="E153" s="1">
        <v>3</v>
      </c>
      <c r="F153" s="1">
        <v>4</v>
      </c>
      <c r="G153" s="1">
        <v>6</v>
      </c>
      <c r="H153" s="1">
        <v>3</v>
      </c>
      <c r="I153" s="1">
        <v>1.6</v>
      </c>
      <c r="J153" s="1">
        <v>1.48</v>
      </c>
      <c r="K153" s="1">
        <v>50</v>
      </c>
      <c r="L153" s="1">
        <v>25</v>
      </c>
      <c r="M153" s="1">
        <v>5</v>
      </c>
      <c r="N153" s="1">
        <v>0</v>
      </c>
      <c r="O153" s="1" t="s">
        <v>18</v>
      </c>
      <c r="P153" s="1">
        <v>360</v>
      </c>
      <c r="Q153" s="1" t="s">
        <v>64</v>
      </c>
      <c r="R153" s="1">
        <v>125</v>
      </c>
      <c r="S153" s="1">
        <v>0.3</v>
      </c>
      <c r="T153" s="1">
        <v>1</v>
      </c>
      <c r="U153" s="1">
        <v>0.5</v>
      </c>
      <c r="V153" s="1">
        <v>0.2</v>
      </c>
      <c r="W153" s="1"/>
      <c r="X153" s="1"/>
      <c r="Y153" s="1"/>
      <c r="Z153" s="3">
        <f>_xlfn.IFNA(VLOOKUP(D153,附件!$B$19:$C$21,2,FALSE)+附件!$C$23,0)+S153+J153*((200/(附件!$C$25+100))^0.5)</f>
        <v>1.78</v>
      </c>
      <c r="AA153" s="3">
        <f>G153*H153/Z153*R153/100</f>
        <v>12.640449438202246</v>
      </c>
      <c r="AB153">
        <f>G153*H153*R153/100</f>
        <v>22.5</v>
      </c>
      <c r="AC153">
        <f>$AA153*T153</f>
        <v>12.640449438202246</v>
      </c>
      <c r="AD153">
        <f>$AA153*U153</f>
        <v>6.3202247191011232</v>
      </c>
      <c r="AE153">
        <f>$AA153*V153</f>
        <v>2.5280898876404496</v>
      </c>
    </row>
    <row r="154" spans="1:31" ht="23.25" customHeight="1" x14ac:dyDescent="0.2">
      <c r="A154" s="22" t="s">
        <v>1520</v>
      </c>
      <c r="B154" s="1" t="s">
        <v>1520</v>
      </c>
      <c r="C154" s="1" t="s">
        <v>1483</v>
      </c>
      <c r="D154" s="1" t="s">
        <v>1480</v>
      </c>
      <c r="E154" s="1">
        <v>13</v>
      </c>
      <c r="F154" s="1">
        <v>44</v>
      </c>
      <c r="G154" s="1">
        <v>92</v>
      </c>
      <c r="H154" s="1">
        <v>3</v>
      </c>
      <c r="I154" s="1">
        <v>20.260000000000002</v>
      </c>
      <c r="J154" s="1">
        <v>16.21</v>
      </c>
      <c r="K154" s="1">
        <v>80</v>
      </c>
      <c r="L154" s="1">
        <v>0</v>
      </c>
      <c r="M154" s="1">
        <v>45</v>
      </c>
      <c r="N154" s="1">
        <v>0</v>
      </c>
      <c r="O154" s="1" t="s">
        <v>53</v>
      </c>
      <c r="P154" s="1">
        <v>50</v>
      </c>
      <c r="Q154" s="1" t="s">
        <v>64</v>
      </c>
      <c r="R154" s="1">
        <v>105</v>
      </c>
      <c r="S154" s="1">
        <v>0</v>
      </c>
      <c r="T154" s="1">
        <v>0.7</v>
      </c>
      <c r="U154" s="1">
        <v>1</v>
      </c>
      <c r="V154" s="1">
        <v>0.9</v>
      </c>
      <c r="W154" s="1"/>
      <c r="X154" s="1"/>
      <c r="Y154" s="1"/>
      <c r="Z154" s="3">
        <f>_xlfn.IFNA(VLOOKUP(D154,附件!$B$19:$C$21,2,FALSE)+附件!$C$23,0)+S154+J154*((200/(附件!$C$25+100))^0.5)</f>
        <v>16.21</v>
      </c>
      <c r="AA154" s="3">
        <f>G154*H154/Z154*R154/100</f>
        <v>17.8778531770512</v>
      </c>
      <c r="AB154">
        <f>G154*H154*R154/100</f>
        <v>289.8</v>
      </c>
      <c r="AC154">
        <f>$AA154*T154</f>
        <v>12.514497223935839</v>
      </c>
      <c r="AD154">
        <f>$AA154*U154</f>
        <v>17.8778531770512</v>
      </c>
      <c r="AE154">
        <f>$AA154*V154</f>
        <v>16.090067859346082</v>
      </c>
    </row>
    <row r="155" spans="1:31" ht="23.25" customHeight="1" x14ac:dyDescent="0.2">
      <c r="A155" s="22" t="s">
        <v>1496</v>
      </c>
      <c r="B155" s="1" t="s">
        <v>1496</v>
      </c>
      <c r="C155" s="1" t="s">
        <v>1481</v>
      </c>
      <c r="D155" s="1" t="s">
        <v>1480</v>
      </c>
      <c r="E155" s="1">
        <v>10</v>
      </c>
      <c r="F155" s="1">
        <v>56</v>
      </c>
      <c r="G155" s="1">
        <v>149</v>
      </c>
      <c r="H155" s="1">
        <v>3</v>
      </c>
      <c r="I155" s="1">
        <v>31.68</v>
      </c>
      <c r="J155" s="1">
        <v>25.35</v>
      </c>
      <c r="K155" s="1">
        <v>80</v>
      </c>
      <c r="L155" s="1">
        <v>0</v>
      </c>
      <c r="M155" s="1">
        <v>25</v>
      </c>
      <c r="N155" s="1">
        <v>0</v>
      </c>
      <c r="O155" s="1" t="s">
        <v>53</v>
      </c>
      <c r="P155" s="1">
        <v>50</v>
      </c>
      <c r="Q155" s="1" t="s">
        <v>64</v>
      </c>
      <c r="R155" s="1">
        <v>100</v>
      </c>
      <c r="S155" s="1">
        <v>0</v>
      </c>
      <c r="T155" s="1">
        <v>0.7</v>
      </c>
      <c r="U155" s="1">
        <v>1</v>
      </c>
      <c r="V155" s="1">
        <v>0.9</v>
      </c>
      <c r="W155" s="1"/>
      <c r="X155" s="1"/>
      <c r="Y155" s="1"/>
      <c r="Z155" s="3">
        <f>_xlfn.IFNA(VLOOKUP(D155,附件!$B$19:$C$21,2,FALSE)+附件!$C$23,0)+S155+J155*((200/(附件!$C$25+100))^0.5)</f>
        <v>25.35</v>
      </c>
      <c r="AA155" s="3">
        <f>G155*H155/Z155*R155/100</f>
        <v>17.633136094674555</v>
      </c>
      <c r="AB155">
        <f>G155*H155*R155/100</f>
        <v>447</v>
      </c>
      <c r="AC155">
        <f>$AA155*T155</f>
        <v>12.343195266272188</v>
      </c>
      <c r="AD155">
        <f>$AA155*U155</f>
        <v>17.633136094674555</v>
      </c>
      <c r="AE155">
        <f>$AA155*V155</f>
        <v>15.8698224852071</v>
      </c>
    </row>
    <row r="156" spans="1:31" ht="23.25" customHeight="1" x14ac:dyDescent="0.2">
      <c r="A156" s="22" t="s">
        <v>88</v>
      </c>
      <c r="B156" s="1" t="s">
        <v>88</v>
      </c>
      <c r="C156" s="1" t="s">
        <v>1481</v>
      </c>
      <c r="D156" s="1" t="s">
        <v>1480</v>
      </c>
      <c r="E156" s="1">
        <v>10</v>
      </c>
      <c r="F156" s="1">
        <v>53</v>
      </c>
      <c r="G156" s="1">
        <v>141</v>
      </c>
      <c r="H156" s="1">
        <v>3</v>
      </c>
      <c r="I156" s="1">
        <v>31.6</v>
      </c>
      <c r="J156" s="1">
        <v>25.29</v>
      </c>
      <c r="K156" s="1">
        <v>80</v>
      </c>
      <c r="L156" s="1">
        <v>0</v>
      </c>
      <c r="M156" s="1">
        <v>25</v>
      </c>
      <c r="N156" s="1">
        <v>0</v>
      </c>
      <c r="O156" s="1" t="s">
        <v>53</v>
      </c>
      <c r="P156" s="1">
        <v>50</v>
      </c>
      <c r="Q156" s="1" t="s">
        <v>64</v>
      </c>
      <c r="R156" s="1">
        <v>105</v>
      </c>
      <c r="S156" s="1">
        <v>0</v>
      </c>
      <c r="T156" s="1">
        <v>0.7</v>
      </c>
      <c r="U156" s="1">
        <v>1</v>
      </c>
      <c r="V156" s="1">
        <v>0.9</v>
      </c>
      <c r="W156" s="1"/>
      <c r="X156" s="1"/>
      <c r="Y156" s="1"/>
      <c r="Z156" s="3">
        <f>_xlfn.IFNA(VLOOKUP(D156,附件!$B$19:$C$21,2,FALSE)+附件!$C$23,0)+S156+J156*((200/(附件!$C$25+100))^0.5)</f>
        <v>25.29</v>
      </c>
      <c r="AA156" s="3">
        <f>G156*H156/Z156*R156/100</f>
        <v>17.562277580071175</v>
      </c>
      <c r="AB156">
        <f>G156*H156*R156/100</f>
        <v>444.15</v>
      </c>
      <c r="AC156">
        <f>$AA156*T156</f>
        <v>12.293594306049823</v>
      </c>
      <c r="AD156">
        <f>$AA156*U156</f>
        <v>17.562277580071175</v>
      </c>
      <c r="AE156">
        <f>$AA156*V156</f>
        <v>15.806049822064058</v>
      </c>
    </row>
    <row r="157" spans="1:31" ht="23.25" customHeight="1" x14ac:dyDescent="0.2">
      <c r="A157" s="22" t="s">
        <v>129</v>
      </c>
      <c r="B157" s="1" t="s">
        <v>129</v>
      </c>
      <c r="C157" s="1" t="s">
        <v>1478</v>
      </c>
      <c r="D157" s="1" t="s">
        <v>1485</v>
      </c>
      <c r="E157" s="1">
        <v>3</v>
      </c>
      <c r="F157" s="1">
        <v>8</v>
      </c>
      <c r="G157" s="1">
        <v>11</v>
      </c>
      <c r="H157" s="1">
        <v>4</v>
      </c>
      <c r="I157" s="1">
        <v>4.25</v>
      </c>
      <c r="J157" s="1">
        <v>4</v>
      </c>
      <c r="K157" s="1">
        <v>55</v>
      </c>
      <c r="L157" s="1">
        <v>28</v>
      </c>
      <c r="M157" s="1">
        <v>5</v>
      </c>
      <c r="N157" s="1">
        <v>0</v>
      </c>
      <c r="O157" s="1" t="s">
        <v>18</v>
      </c>
      <c r="P157" s="1">
        <v>120</v>
      </c>
      <c r="Q157" s="1" t="s">
        <v>27</v>
      </c>
      <c r="R157" s="1">
        <v>110</v>
      </c>
      <c r="S157" s="1">
        <v>0</v>
      </c>
      <c r="T157" s="1">
        <v>1</v>
      </c>
      <c r="U157" s="1">
        <v>0.8</v>
      </c>
      <c r="V157" s="1">
        <v>0.6</v>
      </c>
      <c r="W157" s="1"/>
      <c r="X157" s="1"/>
      <c r="Y157" s="1"/>
      <c r="Z157" s="3">
        <f>_xlfn.IFNA(VLOOKUP(D157,附件!$B$19:$C$21,2,FALSE)+附件!$C$23,0)+S157+J157*((200/(附件!$C$25+100))^0.5)</f>
        <v>4</v>
      </c>
      <c r="AA157" s="3">
        <f>G157*H157/Z157*R157/100</f>
        <v>12.1</v>
      </c>
      <c r="AB157">
        <f>G157*H157*R157/100</f>
        <v>48.4</v>
      </c>
      <c r="AC157">
        <f>$AA157*T157</f>
        <v>12.1</v>
      </c>
      <c r="AD157">
        <f>$AA157*U157</f>
        <v>9.68</v>
      </c>
      <c r="AE157">
        <f>$AA157*V157</f>
        <v>7.26</v>
      </c>
    </row>
    <row r="158" spans="1:31" ht="23.25" customHeight="1" x14ac:dyDescent="0.2">
      <c r="A158" s="22" t="s">
        <v>1490</v>
      </c>
      <c r="B158" s="1" t="s">
        <v>1490</v>
      </c>
      <c r="C158" s="1" t="s">
        <v>1481</v>
      </c>
      <c r="D158" s="1" t="s">
        <v>1480</v>
      </c>
      <c r="E158" s="1">
        <v>11</v>
      </c>
      <c r="F158" s="1">
        <v>60</v>
      </c>
      <c r="G158" s="1">
        <v>156</v>
      </c>
      <c r="H158" s="1">
        <v>3</v>
      </c>
      <c r="I158" s="1">
        <v>34.18</v>
      </c>
      <c r="J158" s="1">
        <v>28.73</v>
      </c>
      <c r="K158" s="1">
        <v>80</v>
      </c>
      <c r="L158" s="1">
        <v>0</v>
      </c>
      <c r="M158" s="1">
        <v>25</v>
      </c>
      <c r="N158" s="1">
        <v>0</v>
      </c>
      <c r="O158" s="1" t="s">
        <v>53</v>
      </c>
      <c r="P158" s="1">
        <v>50</v>
      </c>
      <c r="Q158" s="1" t="s">
        <v>64</v>
      </c>
      <c r="R158" s="1">
        <v>105</v>
      </c>
      <c r="S158" s="1">
        <v>0</v>
      </c>
      <c r="T158" s="1">
        <v>0.7</v>
      </c>
      <c r="U158" s="1">
        <v>1</v>
      </c>
      <c r="V158" s="1">
        <v>0.9</v>
      </c>
      <c r="W158" s="1"/>
      <c r="X158" s="1"/>
      <c r="Y158" s="1"/>
      <c r="Z158" s="3">
        <f>_xlfn.IFNA(VLOOKUP(D158,附件!$B$19:$C$21,2,FALSE)+附件!$C$23,0)+S158+J158*((200/(附件!$C$25+100))^0.5)</f>
        <v>28.73</v>
      </c>
      <c r="AA158" s="3">
        <f>G158*H158/Z158*R158/100</f>
        <v>17.104072398190045</v>
      </c>
      <c r="AB158">
        <f>G158*H158*R158/100</f>
        <v>491.4</v>
      </c>
      <c r="AC158">
        <f>$AA158*T158</f>
        <v>11.97285067873303</v>
      </c>
      <c r="AD158">
        <f>$AA158*U158</f>
        <v>17.104072398190045</v>
      </c>
      <c r="AE158">
        <f>$AA158*V158</f>
        <v>15.393665158371041</v>
      </c>
    </row>
    <row r="159" spans="1:31" ht="23.25" customHeight="1" x14ac:dyDescent="0.2">
      <c r="A159" s="22" t="s">
        <v>870</v>
      </c>
      <c r="B159" s="1" t="s">
        <v>870</v>
      </c>
      <c r="C159" s="1" t="s">
        <v>1478</v>
      </c>
      <c r="D159" s="1" t="s">
        <v>1491</v>
      </c>
      <c r="E159" s="1">
        <v>3</v>
      </c>
      <c r="F159" s="1">
        <v>22</v>
      </c>
      <c r="G159" s="1">
        <v>28</v>
      </c>
      <c r="H159" s="1">
        <v>4</v>
      </c>
      <c r="I159" s="1">
        <v>10.57</v>
      </c>
      <c r="J159" s="1">
        <v>9.8800000000000008</v>
      </c>
      <c r="K159" s="1">
        <v>50</v>
      </c>
      <c r="L159" s="1">
        <v>12</v>
      </c>
      <c r="M159" s="1">
        <v>5</v>
      </c>
      <c r="N159" s="1">
        <v>0</v>
      </c>
      <c r="O159" s="1" t="s">
        <v>18</v>
      </c>
      <c r="P159" s="1">
        <v>40</v>
      </c>
      <c r="Q159" s="1" t="s">
        <v>64</v>
      </c>
      <c r="R159" s="1">
        <v>110</v>
      </c>
      <c r="S159" s="1">
        <v>0.5</v>
      </c>
      <c r="T159" s="1">
        <v>1</v>
      </c>
      <c r="U159" s="1">
        <v>0.9</v>
      </c>
      <c r="V159" s="1">
        <v>0.5</v>
      </c>
      <c r="W159" s="1"/>
      <c r="X159" s="1"/>
      <c r="Y159" s="1"/>
      <c r="Z159" s="3">
        <f>_xlfn.IFNA(VLOOKUP(D159,附件!$B$19:$C$21,2,FALSE)+附件!$C$23,0)+S159+J159*((200/(附件!$C$25+100))^0.5)</f>
        <v>10.38</v>
      </c>
      <c r="AA159" s="3">
        <f>G159*H159/Z159*R159/100</f>
        <v>11.868978805394988</v>
      </c>
      <c r="AB159">
        <f>G159*H159*R159/100</f>
        <v>123.2</v>
      </c>
      <c r="AC159">
        <f>$AA159*T159</f>
        <v>11.868978805394988</v>
      </c>
      <c r="AD159">
        <f>$AA159*U159</f>
        <v>10.682080924855489</v>
      </c>
      <c r="AE159">
        <f>$AA159*V159</f>
        <v>5.9344894026974941</v>
      </c>
    </row>
    <row r="160" spans="1:31" ht="23.25" customHeight="1" x14ac:dyDescent="0.2">
      <c r="A160" s="22" t="s">
        <v>73</v>
      </c>
      <c r="B160" s="1" t="s">
        <v>73</v>
      </c>
      <c r="C160" s="1" t="s">
        <v>1481</v>
      </c>
      <c r="D160" s="1" t="s">
        <v>1477</v>
      </c>
      <c r="E160" s="1">
        <v>11</v>
      </c>
      <c r="F160" s="1">
        <v>3</v>
      </c>
      <c r="G160" s="1">
        <v>10</v>
      </c>
      <c r="H160" s="1">
        <v>3</v>
      </c>
      <c r="I160" s="1">
        <v>3.19</v>
      </c>
      <c r="J160" s="1">
        <v>2.86</v>
      </c>
      <c r="K160" s="1">
        <v>50</v>
      </c>
      <c r="L160" s="1">
        <v>25</v>
      </c>
      <c r="M160" s="1">
        <v>25</v>
      </c>
      <c r="N160" s="1">
        <v>0</v>
      </c>
      <c r="O160" s="1" t="s">
        <v>18</v>
      </c>
      <c r="P160" s="1">
        <v>360</v>
      </c>
      <c r="Q160" s="1" t="s">
        <v>64</v>
      </c>
      <c r="R160" s="1">
        <v>125</v>
      </c>
      <c r="S160" s="1">
        <v>0.3</v>
      </c>
      <c r="T160" s="1">
        <v>1</v>
      </c>
      <c r="U160" s="1">
        <v>0.5</v>
      </c>
      <c r="V160" s="1">
        <v>0.2</v>
      </c>
      <c r="W160" s="1"/>
      <c r="X160" s="1"/>
      <c r="Y160" s="1"/>
      <c r="Z160" s="3">
        <f>_xlfn.IFNA(VLOOKUP(D160,附件!$B$19:$C$21,2,FALSE)+附件!$C$23,0)+S160+J160*((200/(附件!$C$25+100))^0.5)</f>
        <v>3.1599999999999997</v>
      </c>
      <c r="AA160" s="3">
        <f>G160*H160/Z160*R160/100</f>
        <v>11.867088607594937</v>
      </c>
      <c r="AB160">
        <f>G160*H160*R160/100</f>
        <v>37.5</v>
      </c>
      <c r="AC160">
        <f>$AA160*T160</f>
        <v>11.867088607594937</v>
      </c>
      <c r="AD160">
        <f>$AA160*U160</f>
        <v>5.9335443037974684</v>
      </c>
      <c r="AE160">
        <f>$AA160*V160</f>
        <v>2.3734177215189876</v>
      </c>
    </row>
    <row r="161" spans="1:31" ht="23.25" customHeight="1" x14ac:dyDescent="0.2">
      <c r="A161" s="22" t="s">
        <v>1532</v>
      </c>
      <c r="B161" s="1" t="s">
        <v>1532</v>
      </c>
      <c r="C161" s="1" t="s">
        <v>1476</v>
      </c>
      <c r="D161" s="1" t="s">
        <v>1477</v>
      </c>
      <c r="E161" s="1">
        <v>7</v>
      </c>
      <c r="F161" s="1">
        <v>3</v>
      </c>
      <c r="G161" s="1">
        <v>8</v>
      </c>
      <c r="H161" s="1">
        <v>2</v>
      </c>
      <c r="I161" s="1">
        <v>1.7</v>
      </c>
      <c r="J161" s="1">
        <v>1.54</v>
      </c>
      <c r="K161" s="1">
        <v>50</v>
      </c>
      <c r="L161" s="1">
        <v>15</v>
      </c>
      <c r="M161" s="1">
        <v>5</v>
      </c>
      <c r="N161" s="1">
        <v>7</v>
      </c>
      <c r="O161" s="1" t="s">
        <v>18</v>
      </c>
      <c r="P161" s="1">
        <v>360</v>
      </c>
      <c r="Q161" s="1" t="s">
        <v>64</v>
      </c>
      <c r="R161" s="1">
        <v>125</v>
      </c>
      <c r="S161" s="1">
        <v>0.15</v>
      </c>
      <c r="T161" s="1">
        <v>1</v>
      </c>
      <c r="U161" s="1">
        <v>0.5</v>
      </c>
      <c r="V161" s="1">
        <v>0.2</v>
      </c>
      <c r="W161" s="1"/>
      <c r="X161" s="1"/>
      <c r="Y161" s="1"/>
      <c r="Z161" s="3">
        <f>_xlfn.IFNA(VLOOKUP(D161,附件!$B$19:$C$21,2,FALSE)+附件!$C$23,0)+S161+J161*((200/(附件!$C$25+100))^0.5)</f>
        <v>1.69</v>
      </c>
      <c r="AA161" s="3">
        <f>G161*H161/Z161*R161/100</f>
        <v>11.834319526627219</v>
      </c>
      <c r="AB161">
        <f>G161*H161*R161/100</f>
        <v>20</v>
      </c>
      <c r="AC161">
        <f>$AA161*T161</f>
        <v>11.834319526627219</v>
      </c>
      <c r="AD161">
        <f>$AA161*U161</f>
        <v>5.9171597633136095</v>
      </c>
      <c r="AE161">
        <f>$AA161*V161</f>
        <v>2.3668639053254439</v>
      </c>
    </row>
    <row r="162" spans="1:31" ht="23.25" customHeight="1" x14ac:dyDescent="0.2">
      <c r="A162" s="22" t="s">
        <v>92</v>
      </c>
      <c r="B162" s="1" t="s">
        <v>92</v>
      </c>
      <c r="C162" s="1" t="s">
        <v>1481</v>
      </c>
      <c r="D162" s="1" t="s">
        <v>1485</v>
      </c>
      <c r="E162" s="1">
        <v>11</v>
      </c>
      <c r="F162" s="1">
        <v>9</v>
      </c>
      <c r="G162" s="1">
        <v>21</v>
      </c>
      <c r="H162" s="1">
        <v>3</v>
      </c>
      <c r="I162" s="1">
        <v>5.95</v>
      </c>
      <c r="J162" s="1">
        <v>5.35</v>
      </c>
      <c r="K162" s="1">
        <v>55</v>
      </c>
      <c r="L162" s="1">
        <v>25</v>
      </c>
      <c r="M162" s="1">
        <v>25</v>
      </c>
      <c r="N162" s="1">
        <v>0</v>
      </c>
      <c r="O162" s="1" t="s">
        <v>18</v>
      </c>
      <c r="P162" s="1">
        <v>120</v>
      </c>
      <c r="Q162" s="1" t="s">
        <v>27</v>
      </c>
      <c r="R162" s="1">
        <v>105</v>
      </c>
      <c r="S162" s="1">
        <v>0.3</v>
      </c>
      <c r="T162" s="1">
        <v>1</v>
      </c>
      <c r="U162" s="1">
        <v>0.8</v>
      </c>
      <c r="V162" s="1">
        <v>0.6</v>
      </c>
      <c r="W162" s="1"/>
      <c r="X162" s="1"/>
      <c r="Y162" s="1"/>
      <c r="Z162" s="3">
        <f>_xlfn.IFNA(VLOOKUP(D162,附件!$B$19:$C$21,2,FALSE)+附件!$C$23,0)+S162+J162*((200/(附件!$C$25+100))^0.5)</f>
        <v>5.6499999999999995</v>
      </c>
      <c r="AA162" s="3">
        <f>G162*H162/Z162*R162/100</f>
        <v>11.707964601769911</v>
      </c>
      <c r="AB162">
        <f>G162*H162*R162/100</f>
        <v>66.150000000000006</v>
      </c>
      <c r="AC162">
        <f>$AA162*T162</f>
        <v>11.707964601769911</v>
      </c>
      <c r="AD162">
        <f>$AA162*U162</f>
        <v>9.366371681415929</v>
      </c>
      <c r="AE162">
        <f>$AA162*V162</f>
        <v>7.0247787610619463</v>
      </c>
    </row>
    <row r="163" spans="1:31" ht="23.25" customHeight="1" x14ac:dyDescent="0.2">
      <c r="A163" s="22" t="s">
        <v>70</v>
      </c>
      <c r="B163" s="1" t="s">
        <v>70</v>
      </c>
      <c r="C163" s="1" t="s">
        <v>1481</v>
      </c>
      <c r="D163" s="1" t="s">
        <v>1480</v>
      </c>
      <c r="E163" s="1">
        <v>11</v>
      </c>
      <c r="F163" s="1">
        <v>40</v>
      </c>
      <c r="G163" s="1">
        <v>88</v>
      </c>
      <c r="H163" s="1">
        <v>3</v>
      </c>
      <c r="I163" s="1">
        <v>21.95</v>
      </c>
      <c r="J163" s="1">
        <v>16.63</v>
      </c>
      <c r="K163" s="1">
        <v>80</v>
      </c>
      <c r="L163" s="1">
        <v>0</v>
      </c>
      <c r="M163" s="1">
        <v>25</v>
      </c>
      <c r="N163" s="1">
        <v>0</v>
      </c>
      <c r="O163" s="1" t="s">
        <v>53</v>
      </c>
      <c r="P163" s="1">
        <v>50</v>
      </c>
      <c r="Q163" s="1" t="s">
        <v>64</v>
      </c>
      <c r="R163" s="1">
        <v>105</v>
      </c>
      <c r="S163" s="1">
        <v>0</v>
      </c>
      <c r="T163" s="1">
        <v>0.7</v>
      </c>
      <c r="U163" s="1">
        <v>1</v>
      </c>
      <c r="V163" s="1">
        <v>0.9</v>
      </c>
      <c r="W163" s="1"/>
      <c r="X163" s="1"/>
      <c r="Y163" s="1"/>
      <c r="Z163" s="3">
        <f>_xlfn.IFNA(VLOOKUP(D163,附件!$B$19:$C$21,2,FALSE)+附件!$C$23,0)+S163+J163*((200/(附件!$C$25+100))^0.5)</f>
        <v>16.63</v>
      </c>
      <c r="AA163" s="3">
        <f>G163*H163/Z163*R163/100</f>
        <v>16.66867107636801</v>
      </c>
      <c r="AB163">
        <f>G163*H163*R163/100</f>
        <v>277.2</v>
      </c>
      <c r="AC163">
        <f>$AA163*T163</f>
        <v>11.668069753457607</v>
      </c>
      <c r="AD163">
        <f>$AA163*U163</f>
        <v>16.66867107636801</v>
      </c>
      <c r="AE163">
        <f>$AA163*V163</f>
        <v>15.00180396873121</v>
      </c>
    </row>
    <row r="164" spans="1:31" ht="23.25" customHeight="1" x14ac:dyDescent="0.2">
      <c r="A164" s="22" t="s">
        <v>76</v>
      </c>
      <c r="B164" s="1" t="s">
        <v>76</v>
      </c>
      <c r="C164" s="1" t="s">
        <v>1478</v>
      </c>
      <c r="D164" s="1" t="s">
        <v>1485</v>
      </c>
      <c r="E164" s="1">
        <v>3</v>
      </c>
      <c r="F164" s="1">
        <v>7</v>
      </c>
      <c r="G164" s="1">
        <v>10</v>
      </c>
      <c r="H164" s="1">
        <v>6</v>
      </c>
      <c r="I164" s="1">
        <v>5.65</v>
      </c>
      <c r="J164" s="1">
        <v>5.41</v>
      </c>
      <c r="K164" s="1">
        <v>55</v>
      </c>
      <c r="L164" s="1">
        <v>42</v>
      </c>
      <c r="M164" s="1">
        <v>5</v>
      </c>
      <c r="N164" s="1">
        <v>0</v>
      </c>
      <c r="O164" s="1" t="s">
        <v>18</v>
      </c>
      <c r="P164" s="1">
        <v>120</v>
      </c>
      <c r="Q164" s="1" t="s">
        <v>64</v>
      </c>
      <c r="R164" s="1">
        <v>105</v>
      </c>
      <c r="S164" s="1">
        <v>0</v>
      </c>
      <c r="T164" s="1">
        <v>1</v>
      </c>
      <c r="U164" s="1">
        <v>0.75</v>
      </c>
      <c r="V164" s="1">
        <v>0.4</v>
      </c>
      <c r="W164" s="1"/>
      <c r="X164" s="1"/>
      <c r="Y164" s="1"/>
      <c r="Z164" s="3">
        <f>_xlfn.IFNA(VLOOKUP(D164,附件!$B$19:$C$21,2,FALSE)+附件!$C$23,0)+S164+J164*((200/(附件!$C$25+100))^0.5)</f>
        <v>5.41</v>
      </c>
      <c r="AA164" s="3">
        <f>G164*H164/Z164*R164/100</f>
        <v>11.645101663585951</v>
      </c>
      <c r="AB164">
        <f>G164*H164*R164/100</f>
        <v>63</v>
      </c>
      <c r="AC164">
        <f>$AA164*T164</f>
        <v>11.645101663585951</v>
      </c>
      <c r="AD164">
        <f>$AA164*U164</f>
        <v>8.7338262476894641</v>
      </c>
      <c r="AE164">
        <f>$AA164*V164</f>
        <v>4.6580406654343802</v>
      </c>
    </row>
    <row r="165" spans="1:31" ht="23.25" customHeight="1" x14ac:dyDescent="0.2">
      <c r="A165" s="22" t="s">
        <v>1528</v>
      </c>
      <c r="B165" s="1" t="s">
        <v>1528</v>
      </c>
      <c r="C165" s="1" t="s">
        <v>1476</v>
      </c>
      <c r="D165" s="1" t="s">
        <v>1477</v>
      </c>
      <c r="E165" s="1">
        <v>7</v>
      </c>
      <c r="F165" s="1">
        <v>3</v>
      </c>
      <c r="G165" s="1">
        <v>8</v>
      </c>
      <c r="H165" s="1">
        <v>2</v>
      </c>
      <c r="I165" s="1">
        <v>1.66</v>
      </c>
      <c r="J165" s="1">
        <v>1.5</v>
      </c>
      <c r="K165" s="1">
        <v>50</v>
      </c>
      <c r="L165" s="1">
        <v>15</v>
      </c>
      <c r="M165" s="1">
        <v>12</v>
      </c>
      <c r="N165" s="1">
        <v>0</v>
      </c>
      <c r="O165" s="1" t="s">
        <v>18</v>
      </c>
      <c r="P165" s="1">
        <v>360</v>
      </c>
      <c r="Q165" s="1" t="s">
        <v>64</v>
      </c>
      <c r="R165" s="1">
        <v>120</v>
      </c>
      <c r="S165" s="1">
        <v>0.15</v>
      </c>
      <c r="T165" s="1">
        <v>1</v>
      </c>
      <c r="U165" s="1">
        <v>0.5</v>
      </c>
      <c r="V165" s="1">
        <v>0.2</v>
      </c>
      <c r="W165" s="1"/>
      <c r="X165" s="1"/>
      <c r="Y165" s="1"/>
      <c r="Z165" s="3">
        <f>_xlfn.IFNA(VLOOKUP(D165,附件!$B$19:$C$21,2,FALSE)+附件!$C$23,0)+S165+J165*((200/(附件!$C$25+100))^0.5)</f>
        <v>1.65</v>
      </c>
      <c r="AA165" s="3">
        <f>G165*H165/Z165*R165/100</f>
        <v>11.636363636363637</v>
      </c>
      <c r="AB165">
        <f>G165*H165*R165/100</f>
        <v>19.2</v>
      </c>
      <c r="AC165">
        <f>$AA165*T165</f>
        <v>11.636363636363637</v>
      </c>
      <c r="AD165">
        <f>$AA165*U165</f>
        <v>5.8181818181818183</v>
      </c>
      <c r="AE165">
        <f>$AA165*V165</f>
        <v>2.3272727272727276</v>
      </c>
    </row>
    <row r="166" spans="1:31" ht="23.25" customHeight="1" x14ac:dyDescent="0.2">
      <c r="A166" s="22" t="s">
        <v>1540</v>
      </c>
      <c r="B166" s="1" t="s">
        <v>1540</v>
      </c>
      <c r="C166" s="1" t="s">
        <v>1481</v>
      </c>
      <c r="D166" s="1" t="s">
        <v>1480</v>
      </c>
      <c r="E166" s="1">
        <v>10</v>
      </c>
      <c r="F166" s="1">
        <v>60</v>
      </c>
      <c r="G166" s="1">
        <v>180</v>
      </c>
      <c r="H166" s="1">
        <v>3</v>
      </c>
      <c r="I166" s="1">
        <v>40.4</v>
      </c>
      <c r="J166" s="1">
        <v>34.26</v>
      </c>
      <c r="K166" s="1">
        <v>80</v>
      </c>
      <c r="L166" s="1">
        <v>0</v>
      </c>
      <c r="M166" s="1">
        <v>25</v>
      </c>
      <c r="N166" s="1">
        <v>0</v>
      </c>
      <c r="O166" s="1" t="s">
        <v>53</v>
      </c>
      <c r="P166" s="1">
        <v>50</v>
      </c>
      <c r="Q166" s="1" t="s">
        <v>64</v>
      </c>
      <c r="R166" s="1">
        <v>105</v>
      </c>
      <c r="S166" s="1">
        <v>0</v>
      </c>
      <c r="T166" s="1">
        <v>0.7</v>
      </c>
      <c r="U166" s="1">
        <v>1</v>
      </c>
      <c r="V166" s="1">
        <v>0.9</v>
      </c>
      <c r="W166" s="1"/>
      <c r="X166" s="1"/>
      <c r="Y166" s="1"/>
      <c r="Z166" s="3">
        <f>_xlfn.IFNA(VLOOKUP(D166,附件!$B$19:$C$21,2,FALSE)+附件!$C$23,0)+S166+J166*((200/(附件!$C$25+100))^0.5)</f>
        <v>34.26</v>
      </c>
      <c r="AA166" s="3">
        <f>G166*H166/Z166*R166/100</f>
        <v>16.549912434325744</v>
      </c>
      <c r="AB166">
        <f>G166*H166*R166/100</f>
        <v>567</v>
      </c>
      <c r="AC166">
        <f>$AA166*T166</f>
        <v>11.584938704028021</v>
      </c>
      <c r="AD166">
        <f>$AA166*U166</f>
        <v>16.549912434325744</v>
      </c>
      <c r="AE166">
        <f>$AA166*V166</f>
        <v>14.89492119089317</v>
      </c>
    </row>
    <row r="167" spans="1:31" ht="23.25" customHeight="1" x14ac:dyDescent="0.2">
      <c r="A167" s="22" t="s">
        <v>1509</v>
      </c>
      <c r="B167" s="1" t="s">
        <v>1509</v>
      </c>
      <c r="C167" s="1" t="s">
        <v>1510</v>
      </c>
      <c r="D167" s="1" t="s">
        <v>1480</v>
      </c>
      <c r="E167" s="1">
        <v>13</v>
      </c>
      <c r="F167" s="1">
        <v>78</v>
      </c>
      <c r="G167" s="1">
        <v>207</v>
      </c>
      <c r="H167" s="1">
        <v>2</v>
      </c>
      <c r="I167" s="1">
        <v>25.65</v>
      </c>
      <c r="J167" s="1">
        <v>20.65</v>
      </c>
      <c r="K167" s="1">
        <v>80</v>
      </c>
      <c r="L167" s="1">
        <v>0</v>
      </c>
      <c r="M167" s="1">
        <v>65</v>
      </c>
      <c r="N167" s="1">
        <v>0</v>
      </c>
      <c r="O167" s="1" t="s">
        <v>53</v>
      </c>
      <c r="P167" s="1">
        <v>50</v>
      </c>
      <c r="Q167" s="1" t="s">
        <v>27</v>
      </c>
      <c r="R167" s="1">
        <v>105</v>
      </c>
      <c r="S167" s="1">
        <v>0</v>
      </c>
      <c r="T167" s="1">
        <v>0.55000000000000004</v>
      </c>
      <c r="U167" s="1">
        <v>1.45</v>
      </c>
      <c r="V167" s="1">
        <v>1.25</v>
      </c>
      <c r="W167" s="1"/>
      <c r="X167" s="1"/>
      <c r="Y167" s="1"/>
      <c r="Z167" s="3">
        <f>_xlfn.IFNA(VLOOKUP(D167,附件!$B$19:$C$21,2,FALSE)+附件!$C$23,0)+S167+J167*((200/(附件!$C$25+100))^0.5)</f>
        <v>20.65</v>
      </c>
      <c r="AA167" s="3">
        <f>G167*H167/Z167*R167/100</f>
        <v>21.050847457627118</v>
      </c>
      <c r="AB167">
        <f>G167*H167*R167/100</f>
        <v>434.7</v>
      </c>
      <c r="AC167">
        <f>$AA167*T167</f>
        <v>11.577966101694916</v>
      </c>
      <c r="AD167">
        <f>$AA167*U167</f>
        <v>30.52372881355932</v>
      </c>
      <c r="AE167">
        <f>$AA167*V167</f>
        <v>26.313559322033896</v>
      </c>
    </row>
    <row r="168" spans="1:31" ht="23.25" customHeight="1" x14ac:dyDescent="0.2">
      <c r="A168" s="22" t="s">
        <v>79</v>
      </c>
      <c r="B168" s="1" t="s">
        <v>79</v>
      </c>
      <c r="C168" s="1" t="s">
        <v>1478</v>
      </c>
      <c r="D168" s="1" t="s">
        <v>1491</v>
      </c>
      <c r="E168" s="1">
        <v>3</v>
      </c>
      <c r="F168" s="1">
        <v>22</v>
      </c>
      <c r="G168" s="1">
        <v>28</v>
      </c>
      <c r="H168" s="1">
        <v>3</v>
      </c>
      <c r="I168" s="1">
        <v>8.15</v>
      </c>
      <c r="J168" s="1">
        <v>7.65</v>
      </c>
      <c r="K168" s="1">
        <v>50</v>
      </c>
      <c r="L168" s="1">
        <v>30</v>
      </c>
      <c r="M168" s="1">
        <v>0</v>
      </c>
      <c r="N168" s="1">
        <v>0</v>
      </c>
      <c r="O168" s="1" t="s">
        <v>18</v>
      </c>
      <c r="P168" s="1">
        <v>40</v>
      </c>
      <c r="Q168" s="1" t="s">
        <v>64</v>
      </c>
      <c r="R168" s="1">
        <v>105</v>
      </c>
      <c r="S168" s="1">
        <v>0</v>
      </c>
      <c r="T168" s="1">
        <v>1</v>
      </c>
      <c r="U168" s="1">
        <v>0.9</v>
      </c>
      <c r="V168" s="1">
        <v>0.5</v>
      </c>
      <c r="W168" s="1"/>
      <c r="X168" s="1"/>
      <c r="Y168" s="1"/>
      <c r="Z168" s="3">
        <f>_xlfn.IFNA(VLOOKUP(D168,附件!$B$19:$C$21,2,FALSE)+附件!$C$23,0)+S168+J168*((200/(附件!$C$25+100))^0.5)</f>
        <v>7.65</v>
      </c>
      <c r="AA168" s="3">
        <f>G168*H168/Z168*R168/100</f>
        <v>11.529411764705882</v>
      </c>
      <c r="AB168">
        <f>G168*H168*R168/100</f>
        <v>88.2</v>
      </c>
      <c r="AC168">
        <f>$AA168*T168</f>
        <v>11.529411764705882</v>
      </c>
      <c r="AD168">
        <f>$AA168*U168</f>
        <v>10.376470588235295</v>
      </c>
      <c r="AE168">
        <f>$AA168*V168</f>
        <v>5.7647058823529411</v>
      </c>
    </row>
    <row r="169" spans="1:31" ht="23.25" customHeight="1" x14ac:dyDescent="0.2">
      <c r="A169" s="22" t="s">
        <v>1326</v>
      </c>
      <c r="B169" s="1" t="s">
        <v>1326</v>
      </c>
      <c r="C169" s="1" t="s">
        <v>1478</v>
      </c>
      <c r="D169" s="1" t="s">
        <v>1477</v>
      </c>
      <c r="E169" s="1">
        <v>3</v>
      </c>
      <c r="F169" s="1">
        <v>4</v>
      </c>
      <c r="G169" s="1">
        <v>6</v>
      </c>
      <c r="H169" s="1">
        <v>4</v>
      </c>
      <c r="I169" s="1">
        <v>2.2599999999999998</v>
      </c>
      <c r="J169" s="1">
        <v>2.14</v>
      </c>
      <c r="K169" s="1">
        <v>50</v>
      </c>
      <c r="L169" s="1">
        <v>15</v>
      </c>
      <c r="M169" s="1">
        <v>5</v>
      </c>
      <c r="N169" s="1">
        <v>0</v>
      </c>
      <c r="O169" s="1" t="s">
        <v>18</v>
      </c>
      <c r="P169" s="1">
        <v>360</v>
      </c>
      <c r="Q169" s="1" t="s">
        <v>64</v>
      </c>
      <c r="R169" s="1">
        <v>110</v>
      </c>
      <c r="S169" s="1">
        <v>0.15</v>
      </c>
      <c r="T169" s="1">
        <v>1</v>
      </c>
      <c r="U169" s="1">
        <v>0.5</v>
      </c>
      <c r="V169" s="1">
        <v>0.2</v>
      </c>
      <c r="W169" s="1"/>
      <c r="X169" s="1"/>
      <c r="Y169" s="1"/>
      <c r="Z169" s="3">
        <f>_xlfn.IFNA(VLOOKUP(D169,附件!$B$19:$C$21,2,FALSE)+附件!$C$23,0)+S169+J169*((200/(附件!$C$25+100))^0.5)</f>
        <v>2.29</v>
      </c>
      <c r="AA169" s="3">
        <f>G169*H169/Z169*R169/100</f>
        <v>11.528384279475981</v>
      </c>
      <c r="AB169">
        <f>G169*H169*R169/100</f>
        <v>26.4</v>
      </c>
      <c r="AC169">
        <f>$AA169*T169</f>
        <v>11.528384279475981</v>
      </c>
      <c r="AD169">
        <f>$AA169*U169</f>
        <v>5.7641921397379905</v>
      </c>
      <c r="AE169">
        <f>$AA169*V169</f>
        <v>2.3056768558951961</v>
      </c>
    </row>
    <row r="170" spans="1:31" ht="23.25" customHeight="1" x14ac:dyDescent="0.2">
      <c r="A170" s="22" t="s">
        <v>95</v>
      </c>
      <c r="B170" s="1" t="s">
        <v>95</v>
      </c>
      <c r="C170" s="1" t="s">
        <v>1476</v>
      </c>
      <c r="D170" s="1" t="s">
        <v>1477</v>
      </c>
      <c r="E170" s="1">
        <v>7</v>
      </c>
      <c r="F170" s="1">
        <v>3</v>
      </c>
      <c r="G170" s="1">
        <v>7</v>
      </c>
      <c r="H170" s="1">
        <v>1</v>
      </c>
      <c r="I170" s="1">
        <v>0.92</v>
      </c>
      <c r="J170" s="1">
        <v>0.76</v>
      </c>
      <c r="K170" s="1">
        <v>40</v>
      </c>
      <c r="L170" s="1">
        <v>5</v>
      </c>
      <c r="M170" s="1">
        <v>12</v>
      </c>
      <c r="N170" s="1">
        <v>0</v>
      </c>
      <c r="O170" s="1" t="s">
        <v>18</v>
      </c>
      <c r="P170" s="1">
        <v>360</v>
      </c>
      <c r="Q170" s="1" t="s">
        <v>64</v>
      </c>
      <c r="R170" s="1">
        <v>125</v>
      </c>
      <c r="S170" s="1">
        <v>0</v>
      </c>
      <c r="T170" s="1">
        <v>1</v>
      </c>
      <c r="U170" s="1">
        <v>0.6</v>
      </c>
      <c r="V170" s="1">
        <v>0.2</v>
      </c>
      <c r="W170" s="1"/>
      <c r="X170" s="1"/>
      <c r="Y170" s="1"/>
      <c r="Z170" s="3">
        <f>_xlfn.IFNA(VLOOKUP(D170,附件!$B$19:$C$21,2,FALSE)+附件!$C$23,0)+S170+J170*((200/(附件!$C$25+100))^0.5)</f>
        <v>0.76</v>
      </c>
      <c r="AA170" s="3">
        <f>G170*H170/Z170*R170/100</f>
        <v>11.513157894736844</v>
      </c>
      <c r="AB170">
        <f>G170*H170*R170/100</f>
        <v>8.75</v>
      </c>
      <c r="AC170">
        <f>$AA170*T170</f>
        <v>11.513157894736844</v>
      </c>
      <c r="AD170">
        <f>$AA170*U170</f>
        <v>6.9078947368421062</v>
      </c>
      <c r="AE170">
        <f>$AA170*V170</f>
        <v>2.302631578947369</v>
      </c>
    </row>
    <row r="171" spans="1:31" ht="23.25" customHeight="1" x14ac:dyDescent="0.2">
      <c r="A171" s="22" t="s">
        <v>142</v>
      </c>
      <c r="B171" s="1" t="s">
        <v>142</v>
      </c>
      <c r="C171" s="1" t="s">
        <v>1478</v>
      </c>
      <c r="D171" s="1" t="s">
        <v>1485</v>
      </c>
      <c r="E171" s="1">
        <v>3</v>
      </c>
      <c r="F171" s="1">
        <v>7</v>
      </c>
      <c r="G171" s="1">
        <v>10</v>
      </c>
      <c r="H171" s="1">
        <v>4</v>
      </c>
      <c r="I171" s="1">
        <v>3.69</v>
      </c>
      <c r="J171" s="1">
        <v>3.57</v>
      </c>
      <c r="K171" s="1">
        <v>55</v>
      </c>
      <c r="L171" s="1">
        <v>0</v>
      </c>
      <c r="M171" s="1">
        <v>5</v>
      </c>
      <c r="N171" s="1">
        <v>0</v>
      </c>
      <c r="O171" s="1" t="s">
        <v>18</v>
      </c>
      <c r="P171" s="1">
        <v>120</v>
      </c>
      <c r="Q171" s="1" t="s">
        <v>27</v>
      </c>
      <c r="R171" s="1">
        <v>105</v>
      </c>
      <c r="S171" s="1">
        <v>0.1</v>
      </c>
      <c r="T171" s="1">
        <v>1</v>
      </c>
      <c r="U171" s="1">
        <v>0.8</v>
      </c>
      <c r="V171" s="1">
        <v>0.6</v>
      </c>
      <c r="W171" s="1"/>
      <c r="X171" s="1"/>
      <c r="Y171" s="1"/>
      <c r="Z171" s="3">
        <f>_xlfn.IFNA(VLOOKUP(D171,附件!$B$19:$C$21,2,FALSE)+附件!$C$23,0)+S171+J171*((200/(附件!$C$25+100))^0.5)</f>
        <v>3.67</v>
      </c>
      <c r="AA171" s="3">
        <f>G171*H171/Z171*R171/100</f>
        <v>11.444141689373298</v>
      </c>
      <c r="AB171">
        <f>G171*H171*R171/100</f>
        <v>42</v>
      </c>
      <c r="AC171">
        <f>$AA171*T171</f>
        <v>11.444141689373298</v>
      </c>
      <c r="AD171">
        <f>$AA171*U171</f>
        <v>9.1553133514986396</v>
      </c>
      <c r="AE171">
        <f>$AA171*V171</f>
        <v>6.8664850136239783</v>
      </c>
    </row>
    <row r="172" spans="1:31" ht="23.25" customHeight="1" x14ac:dyDescent="0.2">
      <c r="A172" s="22" t="s">
        <v>1504</v>
      </c>
      <c r="B172" s="1" t="s">
        <v>1504</v>
      </c>
      <c r="C172" s="1" t="s">
        <v>1478</v>
      </c>
      <c r="D172" s="1" t="s">
        <v>1485</v>
      </c>
      <c r="E172" s="1">
        <v>3</v>
      </c>
      <c r="F172" s="1">
        <v>7</v>
      </c>
      <c r="G172" s="1">
        <v>10</v>
      </c>
      <c r="H172" s="1">
        <v>3</v>
      </c>
      <c r="I172" s="1">
        <v>2.59</v>
      </c>
      <c r="J172" s="1">
        <v>2.5</v>
      </c>
      <c r="K172" s="1">
        <v>55</v>
      </c>
      <c r="L172" s="1">
        <v>25</v>
      </c>
      <c r="M172" s="1">
        <v>5</v>
      </c>
      <c r="N172" s="1">
        <v>0</v>
      </c>
      <c r="O172" s="1" t="s">
        <v>18</v>
      </c>
      <c r="P172" s="1">
        <v>120</v>
      </c>
      <c r="Q172" s="1" t="s">
        <v>27</v>
      </c>
      <c r="R172" s="1">
        <v>105</v>
      </c>
      <c r="S172" s="1">
        <v>0.3</v>
      </c>
      <c r="T172" s="1">
        <v>1</v>
      </c>
      <c r="U172" s="1">
        <v>0.8</v>
      </c>
      <c r="V172" s="1">
        <v>0.6</v>
      </c>
      <c r="W172" s="1"/>
      <c r="X172" s="1"/>
      <c r="Y172" s="1"/>
      <c r="Z172" s="3">
        <f>_xlfn.IFNA(VLOOKUP(D172,附件!$B$19:$C$21,2,FALSE)+附件!$C$23,0)+S172+J172*((200/(附件!$C$25+100))^0.5)</f>
        <v>2.8</v>
      </c>
      <c r="AA172" s="3">
        <f>G172*H172/Z172*R172/100</f>
        <v>11.25</v>
      </c>
      <c r="AB172">
        <f>G172*H172*R172/100</f>
        <v>31.5</v>
      </c>
      <c r="AC172">
        <f>$AA172*T172</f>
        <v>11.25</v>
      </c>
      <c r="AD172">
        <f>$AA172*U172</f>
        <v>9</v>
      </c>
      <c r="AE172">
        <f>$AA172*V172</f>
        <v>6.75</v>
      </c>
    </row>
    <row r="173" spans="1:31" ht="23.25" customHeight="1" x14ac:dyDescent="0.2">
      <c r="A173" s="22" t="s">
        <v>1515</v>
      </c>
      <c r="B173" s="1" t="s">
        <v>1515</v>
      </c>
      <c r="C173" s="1" t="s">
        <v>1481</v>
      </c>
      <c r="D173" s="1" t="s">
        <v>1480</v>
      </c>
      <c r="E173" s="1">
        <v>10</v>
      </c>
      <c r="F173" s="1">
        <v>40</v>
      </c>
      <c r="G173" s="1">
        <v>84</v>
      </c>
      <c r="H173" s="1">
        <v>3</v>
      </c>
      <c r="I173" s="1">
        <v>21.34</v>
      </c>
      <c r="J173" s="1">
        <v>17.07</v>
      </c>
      <c r="K173" s="1">
        <v>80</v>
      </c>
      <c r="L173" s="1">
        <v>0</v>
      </c>
      <c r="M173" s="1">
        <v>25</v>
      </c>
      <c r="N173" s="1">
        <v>0</v>
      </c>
      <c r="O173" s="1" t="s">
        <v>53</v>
      </c>
      <c r="P173" s="1">
        <v>50</v>
      </c>
      <c r="Q173" s="1" t="s">
        <v>64</v>
      </c>
      <c r="R173" s="1">
        <v>105</v>
      </c>
      <c r="S173" s="1">
        <v>0</v>
      </c>
      <c r="T173" s="1">
        <v>0.7</v>
      </c>
      <c r="U173" s="1">
        <v>1</v>
      </c>
      <c r="V173" s="1">
        <v>0.9</v>
      </c>
      <c r="W173" s="1"/>
      <c r="X173" s="1"/>
      <c r="Y173" s="1"/>
      <c r="Z173" s="3">
        <f>_xlfn.IFNA(VLOOKUP(D173,附件!$B$19:$C$21,2,FALSE)+附件!$C$23,0)+S173+J173*((200/(附件!$C$25+100))^0.5)</f>
        <v>17.07</v>
      </c>
      <c r="AA173" s="3">
        <f>G173*H173/Z173*R173/100</f>
        <v>15.500878734622145</v>
      </c>
      <c r="AB173">
        <f>G173*H173*R173/100</f>
        <v>264.60000000000002</v>
      </c>
      <c r="AC173">
        <f>$AA173*T173</f>
        <v>10.850615114235501</v>
      </c>
      <c r="AD173">
        <f>$AA173*U173</f>
        <v>15.500878734622145</v>
      </c>
      <c r="AE173">
        <f>$AA173*V173</f>
        <v>13.950790861159931</v>
      </c>
    </row>
    <row r="174" spans="1:31" ht="23.25" customHeight="1" x14ac:dyDescent="0.2">
      <c r="A174" s="22" t="s">
        <v>103</v>
      </c>
      <c r="B174" s="1" t="s">
        <v>103</v>
      </c>
      <c r="C174" s="1" t="s">
        <v>1478</v>
      </c>
      <c r="D174" s="1" t="s">
        <v>1485</v>
      </c>
      <c r="E174" s="1">
        <v>3</v>
      </c>
      <c r="F174" s="1">
        <v>9</v>
      </c>
      <c r="G174" s="1">
        <v>12</v>
      </c>
      <c r="H174" s="1">
        <v>3</v>
      </c>
      <c r="I174" s="1">
        <v>3.93</v>
      </c>
      <c r="J174" s="1">
        <v>3.65</v>
      </c>
      <c r="K174" s="1">
        <v>55</v>
      </c>
      <c r="L174" s="1">
        <v>14</v>
      </c>
      <c r="M174" s="1">
        <v>5</v>
      </c>
      <c r="N174" s="1">
        <v>0</v>
      </c>
      <c r="O174" s="1" t="s">
        <v>43</v>
      </c>
      <c r="P174" s="1">
        <v>120</v>
      </c>
      <c r="Q174" s="1" t="s">
        <v>27</v>
      </c>
      <c r="R174" s="1">
        <v>110</v>
      </c>
      <c r="S174" s="1">
        <v>0</v>
      </c>
      <c r="T174" s="1">
        <v>1</v>
      </c>
      <c r="U174" s="1">
        <v>0.8</v>
      </c>
      <c r="V174" s="1">
        <v>0.6</v>
      </c>
      <c r="W174" s="1"/>
      <c r="X174" s="1"/>
      <c r="Y174" s="1"/>
      <c r="Z174" s="3">
        <f>_xlfn.IFNA(VLOOKUP(D174,附件!$B$19:$C$21,2,FALSE)+附件!$C$23,0)+S174+J174*((200/(附件!$C$25+100))^0.5)</f>
        <v>3.65</v>
      </c>
      <c r="AA174" s="3">
        <f>G174*H174/Z174*R174/100</f>
        <v>10.849315068493151</v>
      </c>
      <c r="AB174">
        <f>G174*H174*R174/100</f>
        <v>39.6</v>
      </c>
      <c r="AC174">
        <f>$AA174*T174</f>
        <v>10.849315068493151</v>
      </c>
      <c r="AD174">
        <f>$AA174*U174</f>
        <v>8.6794520547945222</v>
      </c>
      <c r="AE174">
        <f>$AA174*V174</f>
        <v>6.5095890410958903</v>
      </c>
    </row>
    <row r="175" spans="1:31" ht="23.25" customHeight="1" x14ac:dyDescent="0.2">
      <c r="A175" s="22" t="s">
        <v>28</v>
      </c>
      <c r="B175" s="1" t="s">
        <v>28</v>
      </c>
      <c r="C175" s="1" t="s">
        <v>1478</v>
      </c>
      <c r="D175" s="1" t="s">
        <v>1477</v>
      </c>
      <c r="E175" s="1">
        <v>3</v>
      </c>
      <c r="F175" s="1">
        <v>4</v>
      </c>
      <c r="G175" s="1">
        <v>5</v>
      </c>
      <c r="H175" s="1">
        <v>4</v>
      </c>
      <c r="I175" s="1">
        <v>2.04</v>
      </c>
      <c r="J175" s="1">
        <v>1.93</v>
      </c>
      <c r="K175" s="1">
        <v>50</v>
      </c>
      <c r="L175" s="1">
        <v>0</v>
      </c>
      <c r="M175" s="1">
        <v>5</v>
      </c>
      <c r="N175" s="1">
        <v>0</v>
      </c>
      <c r="O175" s="1" t="s">
        <v>18</v>
      </c>
      <c r="P175" s="1">
        <v>360</v>
      </c>
      <c r="Q175" s="1" t="s">
        <v>64</v>
      </c>
      <c r="R175" s="1">
        <v>110</v>
      </c>
      <c r="S175" s="1">
        <v>0.1</v>
      </c>
      <c r="T175" s="1">
        <v>1</v>
      </c>
      <c r="U175" s="1">
        <v>0.5</v>
      </c>
      <c r="V175" s="1">
        <v>0.2</v>
      </c>
      <c r="W175" s="1"/>
      <c r="X175" s="1"/>
      <c r="Y175" s="1"/>
      <c r="Z175" s="3">
        <f>_xlfn.IFNA(VLOOKUP(D175,附件!$B$19:$C$21,2,FALSE)+附件!$C$23,0)+S175+J175*((200/(附件!$C$25+100))^0.5)</f>
        <v>2.0299999999999998</v>
      </c>
      <c r="AA175" s="3">
        <f>G175*H175/Z175*R175/100</f>
        <v>10.837438423645322</v>
      </c>
      <c r="AB175">
        <f>G175*H175*R175/100</f>
        <v>22</v>
      </c>
      <c r="AC175">
        <f>$AA175*T175</f>
        <v>10.837438423645322</v>
      </c>
      <c r="AD175">
        <f>$AA175*U175</f>
        <v>5.418719211822661</v>
      </c>
      <c r="AE175">
        <f>$AA175*V175</f>
        <v>2.1674876847290645</v>
      </c>
    </row>
    <row r="176" spans="1:31" ht="23.25" customHeight="1" x14ac:dyDescent="0.2">
      <c r="A176" s="22" t="s">
        <v>127</v>
      </c>
      <c r="B176" s="1" t="s">
        <v>127</v>
      </c>
      <c r="C176" s="1" t="s">
        <v>1476</v>
      </c>
      <c r="D176" s="1" t="s">
        <v>1477</v>
      </c>
      <c r="E176" s="1">
        <v>6</v>
      </c>
      <c r="F176" s="1">
        <v>4</v>
      </c>
      <c r="G176" s="1">
        <v>8</v>
      </c>
      <c r="H176" s="1">
        <v>2</v>
      </c>
      <c r="I176" s="1">
        <v>1.68</v>
      </c>
      <c r="J176" s="1">
        <v>1.47</v>
      </c>
      <c r="K176" s="1">
        <v>50</v>
      </c>
      <c r="L176" s="1">
        <v>0</v>
      </c>
      <c r="M176" s="1">
        <v>5</v>
      </c>
      <c r="N176" s="1">
        <v>7</v>
      </c>
      <c r="O176" s="1" t="s">
        <v>18</v>
      </c>
      <c r="P176" s="1">
        <v>360</v>
      </c>
      <c r="Q176" s="1" t="s">
        <v>27</v>
      </c>
      <c r="R176" s="1">
        <v>110</v>
      </c>
      <c r="S176" s="1">
        <v>0</v>
      </c>
      <c r="T176" s="1">
        <v>0.9</v>
      </c>
      <c r="U176" s="1">
        <v>0.7</v>
      </c>
      <c r="V176" s="1">
        <v>0.4</v>
      </c>
      <c r="W176" s="1"/>
      <c r="X176" s="1"/>
      <c r="Y176" s="1"/>
      <c r="Z176" s="3">
        <f>_xlfn.IFNA(VLOOKUP(D176,附件!$B$19:$C$21,2,FALSE)+附件!$C$23,0)+S176+J176*((200/(附件!$C$25+100))^0.5)</f>
        <v>1.47</v>
      </c>
      <c r="AA176" s="3">
        <f>G176*H176/Z176*R176/100</f>
        <v>11.972789115646258</v>
      </c>
      <c r="AB176">
        <f>G176*H176*R176/100</f>
        <v>17.600000000000001</v>
      </c>
      <c r="AC176">
        <f>$AA176*T176</f>
        <v>10.775510204081632</v>
      </c>
      <c r="AD176">
        <f>$AA176*U176</f>
        <v>8.3809523809523796</v>
      </c>
      <c r="AE176">
        <f>$AA176*V176</f>
        <v>4.7891156462585034</v>
      </c>
    </row>
    <row r="177" spans="1:31" ht="23.25" customHeight="1" x14ac:dyDescent="0.2">
      <c r="A177" s="22" t="s">
        <v>122</v>
      </c>
      <c r="B177" s="1" t="s">
        <v>122</v>
      </c>
      <c r="C177" s="1" t="s">
        <v>1478</v>
      </c>
      <c r="D177" s="1" t="s">
        <v>1477</v>
      </c>
      <c r="E177" s="1">
        <v>3</v>
      </c>
      <c r="F177" s="1">
        <v>4</v>
      </c>
      <c r="G177" s="1">
        <v>6</v>
      </c>
      <c r="H177" s="1">
        <v>4</v>
      </c>
      <c r="I177" s="1">
        <v>2.36</v>
      </c>
      <c r="J177" s="1">
        <v>2.21</v>
      </c>
      <c r="K177" s="1">
        <v>50</v>
      </c>
      <c r="L177" s="1">
        <v>0</v>
      </c>
      <c r="M177" s="1">
        <v>3</v>
      </c>
      <c r="N177" s="1">
        <v>2</v>
      </c>
      <c r="O177" s="1" t="s">
        <v>18</v>
      </c>
      <c r="P177" s="1">
        <v>360</v>
      </c>
      <c r="Q177" s="1" t="s">
        <v>27</v>
      </c>
      <c r="R177" s="1">
        <v>115</v>
      </c>
      <c r="S177" s="1">
        <v>0.1</v>
      </c>
      <c r="T177" s="1">
        <v>0.9</v>
      </c>
      <c r="U177" s="1">
        <v>0.7</v>
      </c>
      <c r="V177" s="1">
        <v>0.4</v>
      </c>
      <c r="W177" s="1"/>
      <c r="X177" s="1"/>
      <c r="Y177" s="1"/>
      <c r="Z177" s="3">
        <f>_xlfn.IFNA(VLOOKUP(D177,附件!$B$19:$C$21,2,FALSE)+附件!$C$23,0)+S177+J177*((200/(附件!$C$25+100))^0.5)</f>
        <v>2.31</v>
      </c>
      <c r="AA177" s="3">
        <f>G177*H177/Z177*R177/100</f>
        <v>11.948051948051948</v>
      </c>
      <c r="AB177">
        <f>G177*H177*R177/100</f>
        <v>27.6</v>
      </c>
      <c r="AC177">
        <f>$AA177*T177</f>
        <v>10.753246753246753</v>
      </c>
      <c r="AD177">
        <f>$AA177*U177</f>
        <v>8.3636363636363633</v>
      </c>
      <c r="AE177">
        <f>$AA177*V177</f>
        <v>4.779220779220779</v>
      </c>
    </row>
    <row r="178" spans="1:31" ht="23.25" customHeight="1" x14ac:dyDescent="0.2">
      <c r="A178" s="22" t="s">
        <v>1500</v>
      </c>
      <c r="B178" s="1" t="s">
        <v>1500</v>
      </c>
      <c r="C178" s="1" t="s">
        <v>1483</v>
      </c>
      <c r="D178" s="1" t="s">
        <v>1480</v>
      </c>
      <c r="E178" s="1">
        <v>13</v>
      </c>
      <c r="F178" s="1">
        <v>62</v>
      </c>
      <c r="G178" s="1">
        <v>182</v>
      </c>
      <c r="H178" s="1">
        <v>3</v>
      </c>
      <c r="I178" s="1">
        <v>30.02</v>
      </c>
      <c r="J178" s="1">
        <v>24.02</v>
      </c>
      <c r="K178" s="1">
        <v>80</v>
      </c>
      <c r="L178" s="1">
        <v>0</v>
      </c>
      <c r="M178" s="1">
        <v>45</v>
      </c>
      <c r="N178" s="1">
        <v>0</v>
      </c>
      <c r="O178" s="1" t="s">
        <v>53</v>
      </c>
      <c r="P178" s="1">
        <v>50</v>
      </c>
      <c r="Q178" s="1" t="s">
        <v>27</v>
      </c>
      <c r="R178" s="1">
        <v>105</v>
      </c>
      <c r="S178" s="1">
        <v>0</v>
      </c>
      <c r="T178" s="1">
        <v>0.45</v>
      </c>
      <c r="U178" s="1">
        <v>1.3</v>
      </c>
      <c r="V178" s="1">
        <v>1.1000000000000001</v>
      </c>
      <c r="W178" s="1"/>
      <c r="X178" s="1"/>
      <c r="Y178" s="1"/>
      <c r="Z178" s="3">
        <f>_xlfn.IFNA(VLOOKUP(D178,附件!$B$19:$C$21,2,FALSE)+附件!$C$23,0)+S178+J178*((200/(附件!$C$25+100))^0.5)</f>
        <v>24.02</v>
      </c>
      <c r="AA178" s="3">
        <f>G178*H178/Z178*R178/100</f>
        <v>23.867610324729394</v>
      </c>
      <c r="AB178">
        <f>G178*H178*R178/100</f>
        <v>573.29999999999995</v>
      </c>
      <c r="AC178">
        <f>$AA178*T178</f>
        <v>10.740424646128227</v>
      </c>
      <c r="AD178">
        <f>$AA178*U178</f>
        <v>31.027893422148214</v>
      </c>
      <c r="AE178">
        <f>$AA178*V178</f>
        <v>26.254371357202334</v>
      </c>
    </row>
    <row r="179" spans="1:31" ht="23.25" customHeight="1" x14ac:dyDescent="0.2">
      <c r="A179" s="22" t="s">
        <v>31</v>
      </c>
      <c r="B179" s="1" t="s">
        <v>31</v>
      </c>
      <c r="C179" s="1" t="s">
        <v>1478</v>
      </c>
      <c r="D179" s="1" t="s">
        <v>1477</v>
      </c>
      <c r="E179" s="1">
        <v>3</v>
      </c>
      <c r="F179" s="1">
        <v>3</v>
      </c>
      <c r="G179" s="1">
        <v>4</v>
      </c>
      <c r="H179" s="1">
        <v>5</v>
      </c>
      <c r="I179" s="1">
        <v>2.06</v>
      </c>
      <c r="J179" s="1">
        <v>1.94</v>
      </c>
      <c r="K179" s="1">
        <v>50</v>
      </c>
      <c r="L179" s="1">
        <v>15</v>
      </c>
      <c r="M179" s="1">
        <v>0</v>
      </c>
      <c r="N179" s="1">
        <v>0</v>
      </c>
      <c r="O179" s="1" t="s">
        <v>18</v>
      </c>
      <c r="P179" s="1">
        <v>360</v>
      </c>
      <c r="Q179" s="1" t="s">
        <v>64</v>
      </c>
      <c r="R179" s="1">
        <v>110</v>
      </c>
      <c r="S179" s="1">
        <v>0.2</v>
      </c>
      <c r="T179" s="1">
        <v>1</v>
      </c>
      <c r="U179" s="1">
        <v>0.5</v>
      </c>
      <c r="V179" s="1">
        <v>0.2</v>
      </c>
      <c r="W179" s="1"/>
      <c r="X179" s="1"/>
      <c r="Y179" s="1"/>
      <c r="Z179" s="3">
        <f>_xlfn.IFNA(VLOOKUP(D179,附件!$B$19:$C$21,2,FALSE)+附件!$C$23,0)+S179+J179*((200/(附件!$C$25+100))^0.5)</f>
        <v>2.14</v>
      </c>
      <c r="AA179" s="3">
        <f>G179*H179/Z179*R179/100</f>
        <v>10.2803738317757</v>
      </c>
      <c r="AB179">
        <f>G179*H179*R179/100</f>
        <v>22</v>
      </c>
      <c r="AC179">
        <f>$AA179*T179</f>
        <v>10.2803738317757</v>
      </c>
      <c r="AD179">
        <f>$AA179*U179</f>
        <v>5.1401869158878499</v>
      </c>
      <c r="AE179">
        <f>$AA179*V179</f>
        <v>2.05607476635514</v>
      </c>
    </row>
    <row r="180" spans="1:31" ht="23.25" customHeight="1" x14ac:dyDescent="0.2">
      <c r="A180" s="22" t="s">
        <v>1524</v>
      </c>
      <c r="B180" s="1" t="s">
        <v>1524</v>
      </c>
      <c r="C180" s="1" t="s">
        <v>1478</v>
      </c>
      <c r="D180" s="1" t="s">
        <v>1477</v>
      </c>
      <c r="E180" s="1">
        <v>3</v>
      </c>
      <c r="F180" s="1">
        <v>4</v>
      </c>
      <c r="G180" s="1">
        <v>7</v>
      </c>
      <c r="H180" s="1">
        <v>1</v>
      </c>
      <c r="I180" s="1">
        <v>0.92</v>
      </c>
      <c r="J180" s="1">
        <v>0.86</v>
      </c>
      <c r="K180" s="1">
        <v>50</v>
      </c>
      <c r="L180" s="1">
        <v>5</v>
      </c>
      <c r="M180" s="1">
        <v>5</v>
      </c>
      <c r="N180" s="1">
        <v>0</v>
      </c>
      <c r="O180" s="1" t="s">
        <v>18</v>
      </c>
      <c r="P180" s="1">
        <v>360</v>
      </c>
      <c r="Q180" s="1" t="s">
        <v>64</v>
      </c>
      <c r="R180" s="1">
        <v>125</v>
      </c>
      <c r="S180" s="1">
        <v>0</v>
      </c>
      <c r="T180" s="1">
        <v>1</v>
      </c>
      <c r="U180" s="1">
        <v>0.5</v>
      </c>
      <c r="V180" s="1">
        <v>0.2</v>
      </c>
      <c r="W180" s="1"/>
      <c r="X180" s="1"/>
      <c r="Y180" s="1"/>
      <c r="Z180" s="3">
        <f>_xlfn.IFNA(VLOOKUP(D180,附件!$B$19:$C$21,2,FALSE)+附件!$C$23,0)+S180+J180*((200/(附件!$C$25+100))^0.5)</f>
        <v>0.86</v>
      </c>
      <c r="AA180" s="3">
        <f>G180*H180/Z180*R180/100</f>
        <v>10.174418604651162</v>
      </c>
      <c r="AB180">
        <f>G180*H180*R180/100</f>
        <v>8.75</v>
      </c>
      <c r="AC180">
        <f>$AA180*T180</f>
        <v>10.174418604651162</v>
      </c>
      <c r="AD180">
        <f>$AA180*U180</f>
        <v>5.0872093023255811</v>
      </c>
      <c r="AE180">
        <f>$AA180*V180</f>
        <v>2.0348837209302326</v>
      </c>
    </row>
    <row r="181" spans="1:31" ht="23.25" customHeight="1" x14ac:dyDescent="0.2">
      <c r="A181" s="22" t="s">
        <v>1544</v>
      </c>
      <c r="B181" s="1" t="s">
        <v>1544</v>
      </c>
      <c r="C181" s="1" t="s">
        <v>1510</v>
      </c>
      <c r="D181" s="1" t="s">
        <v>1480</v>
      </c>
      <c r="E181" s="1">
        <v>13</v>
      </c>
      <c r="F181" s="1">
        <v>72</v>
      </c>
      <c r="G181" s="1">
        <v>216</v>
      </c>
      <c r="H181" s="1">
        <v>3</v>
      </c>
      <c r="I181" s="1">
        <v>36.56</v>
      </c>
      <c r="J181" s="1">
        <v>31</v>
      </c>
      <c r="K181" s="1">
        <v>80</v>
      </c>
      <c r="L181" s="1">
        <v>0</v>
      </c>
      <c r="M181" s="1">
        <v>70</v>
      </c>
      <c r="N181" s="1">
        <v>0</v>
      </c>
      <c r="O181" s="1" t="s">
        <v>53</v>
      </c>
      <c r="P181" s="1">
        <v>50</v>
      </c>
      <c r="Q181" s="1" t="s">
        <v>27</v>
      </c>
      <c r="R181" s="1">
        <v>105</v>
      </c>
      <c r="S181" s="1">
        <v>0</v>
      </c>
      <c r="T181" s="1">
        <v>0.45</v>
      </c>
      <c r="U181" s="1">
        <v>1.3</v>
      </c>
      <c r="V181" s="1">
        <v>1.1000000000000001</v>
      </c>
      <c r="W181" s="1"/>
      <c r="X181" s="1"/>
      <c r="Y181" s="1"/>
      <c r="Z181" s="3">
        <f>_xlfn.IFNA(VLOOKUP(D181,附件!$B$19:$C$21,2,FALSE)+附件!$C$23,0)+S181+J181*((200/(附件!$C$25+100))^0.5)</f>
        <v>31</v>
      </c>
      <c r="AA181" s="3">
        <f>G181*H181/Z181*R181/100</f>
        <v>21.948387096774191</v>
      </c>
      <c r="AB181">
        <f>G181*H181*R181/100</f>
        <v>680.4</v>
      </c>
      <c r="AC181">
        <f>$AA181*T181</f>
        <v>9.8767741935483855</v>
      </c>
      <c r="AD181">
        <f>$AA181*U181</f>
        <v>28.53290322580645</v>
      </c>
      <c r="AE181">
        <f>$AA181*V181</f>
        <v>24.143225806451611</v>
      </c>
    </row>
    <row r="182" spans="1:31" ht="23.25" customHeight="1" x14ac:dyDescent="0.2">
      <c r="A182" s="22" t="s">
        <v>1525</v>
      </c>
      <c r="B182" s="1" t="s">
        <v>1525</v>
      </c>
      <c r="C182" s="1" t="s">
        <v>1476</v>
      </c>
      <c r="D182" s="1" t="s">
        <v>1477</v>
      </c>
      <c r="E182" s="1">
        <v>7</v>
      </c>
      <c r="F182" s="1">
        <v>3</v>
      </c>
      <c r="G182" s="1">
        <v>8</v>
      </c>
      <c r="H182" s="1">
        <v>1</v>
      </c>
      <c r="I182" s="1">
        <v>1.18</v>
      </c>
      <c r="J182" s="1">
        <v>1.02</v>
      </c>
      <c r="K182" s="1">
        <v>50</v>
      </c>
      <c r="L182" s="1">
        <v>5</v>
      </c>
      <c r="M182" s="1">
        <v>12</v>
      </c>
      <c r="N182" s="1">
        <v>0</v>
      </c>
      <c r="O182" s="1" t="s">
        <v>18</v>
      </c>
      <c r="P182" s="1">
        <v>360</v>
      </c>
      <c r="Q182" s="1" t="s">
        <v>64</v>
      </c>
      <c r="R182" s="1">
        <v>125</v>
      </c>
      <c r="S182" s="1">
        <v>0</v>
      </c>
      <c r="T182" s="1">
        <v>1</v>
      </c>
      <c r="U182" s="1">
        <v>0.5</v>
      </c>
      <c r="V182" s="1">
        <v>0.2</v>
      </c>
      <c r="W182" s="1"/>
      <c r="X182" s="1"/>
      <c r="Y182" s="1"/>
      <c r="Z182" s="3">
        <f>_xlfn.IFNA(VLOOKUP(D182,附件!$B$19:$C$21,2,FALSE)+附件!$C$23,0)+S182+J182*((200/(附件!$C$25+100))^0.5)</f>
        <v>1.02</v>
      </c>
      <c r="AA182" s="3">
        <f>G182*H182/Z182*R182/100</f>
        <v>9.8039215686274517</v>
      </c>
      <c r="AB182">
        <f>G182*H182*R182/100</f>
        <v>10</v>
      </c>
      <c r="AC182">
        <f>$AA182*T182</f>
        <v>9.8039215686274517</v>
      </c>
      <c r="AD182">
        <f>$AA182*U182</f>
        <v>4.9019607843137258</v>
      </c>
      <c r="AE182">
        <f>$AA182*V182</f>
        <v>1.9607843137254903</v>
      </c>
    </row>
    <row r="183" spans="1:31" ht="23.25" customHeight="1" x14ac:dyDescent="0.2">
      <c r="A183" s="22" t="s">
        <v>46</v>
      </c>
      <c r="B183" s="1" t="s">
        <v>46</v>
      </c>
      <c r="C183" s="1" t="s">
        <v>1478</v>
      </c>
      <c r="D183" s="1" t="s">
        <v>1485</v>
      </c>
      <c r="E183" s="1">
        <v>3</v>
      </c>
      <c r="F183" s="1">
        <v>6</v>
      </c>
      <c r="G183" s="1">
        <v>9</v>
      </c>
      <c r="H183" s="1">
        <v>4</v>
      </c>
      <c r="I183" s="1">
        <v>4.5199999999999996</v>
      </c>
      <c r="J183" s="1">
        <v>4.2</v>
      </c>
      <c r="K183" s="1">
        <v>55</v>
      </c>
      <c r="L183" s="1">
        <v>28</v>
      </c>
      <c r="M183" s="1">
        <v>5</v>
      </c>
      <c r="N183" s="1">
        <v>0</v>
      </c>
      <c r="O183" s="1" t="s">
        <v>43</v>
      </c>
      <c r="P183" s="1">
        <v>120</v>
      </c>
      <c r="Q183" s="1" t="s">
        <v>64</v>
      </c>
      <c r="R183" s="1">
        <v>110</v>
      </c>
      <c r="S183" s="1">
        <v>0</v>
      </c>
      <c r="T183" s="1">
        <v>1</v>
      </c>
      <c r="U183" s="1">
        <v>0.75</v>
      </c>
      <c r="V183" s="1">
        <v>0.4</v>
      </c>
      <c r="W183" s="1"/>
      <c r="X183" s="1"/>
      <c r="Y183" s="1"/>
      <c r="Z183" s="3">
        <f>_xlfn.IFNA(VLOOKUP(D183,附件!$B$19:$C$21,2,FALSE)+附件!$C$23,0)+S183+J183*((200/(附件!$C$25+100))^0.5)</f>
        <v>4.2</v>
      </c>
      <c r="AA183" s="3">
        <f>G183*H183/Z183*R183/100</f>
        <v>9.428571428571427</v>
      </c>
      <c r="AB183">
        <f>G183*H183*R183/100</f>
        <v>39.6</v>
      </c>
      <c r="AC183">
        <f>$AA183*T183</f>
        <v>9.428571428571427</v>
      </c>
      <c r="AD183">
        <f>$AA183*U183</f>
        <v>7.0714285714285703</v>
      </c>
      <c r="AE183">
        <f>$AA183*V183</f>
        <v>3.7714285714285709</v>
      </c>
    </row>
    <row r="184" spans="1:31" ht="23.25" customHeight="1" x14ac:dyDescent="0.2">
      <c r="A184" s="22" t="s">
        <v>102</v>
      </c>
      <c r="B184" s="1" t="s">
        <v>102</v>
      </c>
      <c r="C184" s="1" t="s">
        <v>1478</v>
      </c>
      <c r="D184" s="1" t="s">
        <v>1485</v>
      </c>
      <c r="E184" s="1">
        <v>3</v>
      </c>
      <c r="F184" s="1">
        <v>8</v>
      </c>
      <c r="G184" s="1">
        <v>11</v>
      </c>
      <c r="H184" s="1">
        <v>3</v>
      </c>
      <c r="I184" s="1">
        <v>4.16</v>
      </c>
      <c r="J184" s="1">
        <v>3.87</v>
      </c>
      <c r="K184" s="1">
        <v>55</v>
      </c>
      <c r="L184" s="1">
        <v>14</v>
      </c>
      <c r="M184" s="1">
        <v>0</v>
      </c>
      <c r="N184" s="1">
        <v>0</v>
      </c>
      <c r="O184" s="1" t="s">
        <v>43</v>
      </c>
      <c r="P184" s="1">
        <v>120</v>
      </c>
      <c r="Q184" s="1" t="s">
        <v>27</v>
      </c>
      <c r="R184" s="1">
        <v>110</v>
      </c>
      <c r="S184" s="1">
        <v>0</v>
      </c>
      <c r="T184" s="1">
        <v>1</v>
      </c>
      <c r="U184" s="1">
        <v>0.8</v>
      </c>
      <c r="V184" s="1">
        <v>0.6</v>
      </c>
      <c r="W184" s="1"/>
      <c r="X184" s="1"/>
      <c r="Y184" s="1"/>
      <c r="Z184" s="3">
        <f>_xlfn.IFNA(VLOOKUP(D184,附件!$B$19:$C$21,2,FALSE)+附件!$C$23,0)+S184+J184*((200/(附件!$C$25+100))^0.5)</f>
        <v>3.87</v>
      </c>
      <c r="AA184" s="3">
        <f>G184*H184/Z184*R184/100</f>
        <v>9.379844961240309</v>
      </c>
      <c r="AB184">
        <f>G184*H184*R184/100</f>
        <v>36.299999999999997</v>
      </c>
      <c r="AC184">
        <f>$AA184*T184</f>
        <v>9.379844961240309</v>
      </c>
      <c r="AD184">
        <f>$AA184*U184</f>
        <v>7.5038759689922472</v>
      </c>
      <c r="AE184">
        <f>$AA184*V184</f>
        <v>5.6279069767441854</v>
      </c>
    </row>
    <row r="185" spans="1:31" ht="23.25" customHeight="1" x14ac:dyDescent="0.2">
      <c r="A185" s="22" t="s">
        <v>98</v>
      </c>
      <c r="B185" s="1" t="s">
        <v>98</v>
      </c>
      <c r="C185" s="1" t="s">
        <v>1476</v>
      </c>
      <c r="D185" s="1" t="s">
        <v>1477</v>
      </c>
      <c r="E185" s="1">
        <v>7</v>
      </c>
      <c r="F185" s="1">
        <v>4</v>
      </c>
      <c r="G185" s="1">
        <v>9</v>
      </c>
      <c r="H185" s="1">
        <v>1</v>
      </c>
      <c r="I185" s="1">
        <v>1.24</v>
      </c>
      <c r="J185" s="1">
        <v>1.0900000000000001</v>
      </c>
      <c r="K185" s="1">
        <v>50</v>
      </c>
      <c r="L185" s="1">
        <v>5</v>
      </c>
      <c r="M185" s="1">
        <v>12</v>
      </c>
      <c r="N185" s="1">
        <v>0</v>
      </c>
      <c r="O185" s="1" t="s">
        <v>18</v>
      </c>
      <c r="P185" s="1">
        <v>360</v>
      </c>
      <c r="Q185" s="1" t="s">
        <v>27</v>
      </c>
      <c r="R185" s="1">
        <v>125</v>
      </c>
      <c r="S185" s="1">
        <v>0</v>
      </c>
      <c r="T185" s="1">
        <v>0.9</v>
      </c>
      <c r="U185" s="1">
        <v>0.7</v>
      </c>
      <c r="V185" s="1">
        <v>0.4</v>
      </c>
      <c r="W185" s="1"/>
      <c r="X185" s="1"/>
      <c r="Y185" s="1"/>
      <c r="Z185" s="3">
        <f>_xlfn.IFNA(VLOOKUP(D185,附件!$B$19:$C$21,2,FALSE)+附件!$C$23,0)+S185+J185*((200/(附件!$C$25+100))^0.5)</f>
        <v>1.0900000000000001</v>
      </c>
      <c r="AA185" s="3">
        <f>G185*H185/Z185*R185/100</f>
        <v>10.321100917431192</v>
      </c>
      <c r="AB185">
        <f>G185*H185*R185/100</f>
        <v>11.25</v>
      </c>
      <c r="AC185">
        <f>$AA185*T185</f>
        <v>9.2889908256880727</v>
      </c>
      <c r="AD185">
        <f>$AA185*U185</f>
        <v>7.2247706422018334</v>
      </c>
      <c r="AE185">
        <f>$AA185*V185</f>
        <v>4.1284403669724767</v>
      </c>
    </row>
    <row r="186" spans="1:31" ht="23.25" customHeight="1" x14ac:dyDescent="0.2">
      <c r="A186" s="22" t="s">
        <v>118</v>
      </c>
      <c r="B186" s="1" t="s">
        <v>118</v>
      </c>
      <c r="C186" s="1" t="s">
        <v>1476</v>
      </c>
      <c r="D186" s="1" t="s">
        <v>1477</v>
      </c>
      <c r="E186" s="1">
        <v>7</v>
      </c>
      <c r="F186" s="1">
        <v>3</v>
      </c>
      <c r="G186" s="1">
        <v>7</v>
      </c>
      <c r="H186" s="1">
        <v>2</v>
      </c>
      <c r="I186" s="1">
        <v>1.68</v>
      </c>
      <c r="J186" s="1">
        <v>1.52</v>
      </c>
      <c r="K186" s="1">
        <v>50</v>
      </c>
      <c r="L186" s="1">
        <v>15</v>
      </c>
      <c r="M186" s="1">
        <v>12</v>
      </c>
      <c r="N186" s="1">
        <v>0</v>
      </c>
      <c r="O186" s="1" t="s">
        <v>18</v>
      </c>
      <c r="P186" s="1">
        <v>120</v>
      </c>
      <c r="Q186" s="1" t="s">
        <v>64</v>
      </c>
      <c r="R186" s="1">
        <v>110</v>
      </c>
      <c r="S186" s="1">
        <v>0.15</v>
      </c>
      <c r="T186" s="1">
        <v>1</v>
      </c>
      <c r="U186" s="1">
        <v>0.5</v>
      </c>
      <c r="V186" s="1">
        <v>0.2</v>
      </c>
      <c r="W186" s="1"/>
      <c r="X186" s="1"/>
      <c r="Y186" s="1"/>
      <c r="Z186" s="3">
        <f>_xlfn.IFNA(VLOOKUP(D186,附件!$B$19:$C$21,2,FALSE)+附件!$C$23,0)+S186+J186*((200/(附件!$C$25+100))^0.5)</f>
        <v>1.67</v>
      </c>
      <c r="AA186" s="3">
        <f>G186*H186/Z186*R186/100</f>
        <v>9.2215568862275443</v>
      </c>
      <c r="AB186">
        <f>G186*H186*R186/100</f>
        <v>15.4</v>
      </c>
      <c r="AC186">
        <f>$AA186*T186</f>
        <v>9.2215568862275443</v>
      </c>
      <c r="AD186">
        <f>$AA186*U186</f>
        <v>4.6107784431137722</v>
      </c>
      <c r="AE186">
        <f>$AA186*V186</f>
        <v>1.8443113772455089</v>
      </c>
    </row>
    <row r="187" spans="1:31" ht="23.25" customHeight="1" x14ac:dyDescent="0.2">
      <c r="A187" s="22" t="s">
        <v>157</v>
      </c>
      <c r="B187" s="1" t="s">
        <v>157</v>
      </c>
      <c r="C187" s="1" t="s">
        <v>1483</v>
      </c>
      <c r="D187" s="1" t="s">
        <v>1480</v>
      </c>
      <c r="E187" s="1">
        <v>13</v>
      </c>
      <c r="F187" s="1">
        <v>58</v>
      </c>
      <c r="G187" s="1">
        <v>154</v>
      </c>
      <c r="H187" s="1">
        <v>3</v>
      </c>
      <c r="I187" s="1">
        <v>30.13</v>
      </c>
      <c r="J187" s="1">
        <v>24.14</v>
      </c>
      <c r="K187" s="1">
        <v>80</v>
      </c>
      <c r="L187" s="1">
        <v>0</v>
      </c>
      <c r="M187" s="1">
        <v>45</v>
      </c>
      <c r="N187" s="1">
        <v>0</v>
      </c>
      <c r="O187" s="1" t="s">
        <v>53</v>
      </c>
      <c r="P187" s="1">
        <v>50</v>
      </c>
      <c r="Q187" s="1" t="s">
        <v>27</v>
      </c>
      <c r="R187" s="1">
        <v>105</v>
      </c>
      <c r="S187" s="1">
        <v>0</v>
      </c>
      <c r="T187" s="1">
        <v>0.45</v>
      </c>
      <c r="U187" s="1">
        <v>1.3</v>
      </c>
      <c r="V187" s="1">
        <v>1.1000000000000001</v>
      </c>
      <c r="W187" s="1"/>
      <c r="X187" s="1"/>
      <c r="Y187" s="1"/>
      <c r="Z187" s="3">
        <f>_xlfn.IFNA(VLOOKUP(D187,附件!$B$19:$C$21,2,FALSE)+附件!$C$23,0)+S187+J187*((200/(附件!$C$25+100))^0.5)</f>
        <v>24.14</v>
      </c>
      <c r="AA187" s="3">
        <f>G187*H187/Z187*R187/100</f>
        <v>20.095277547638773</v>
      </c>
      <c r="AB187">
        <f>G187*H187*R187/100</f>
        <v>485.1</v>
      </c>
      <c r="AC187">
        <f>$AA187*T187</f>
        <v>9.0428748964374481</v>
      </c>
      <c r="AD187">
        <f>$AA187*U187</f>
        <v>26.123860811930406</v>
      </c>
      <c r="AE187">
        <f>$AA187*V187</f>
        <v>22.104805302402653</v>
      </c>
    </row>
    <row r="188" spans="1:31" ht="23.25" customHeight="1" x14ac:dyDescent="0.2">
      <c r="A188" s="22" t="s">
        <v>1487</v>
      </c>
      <c r="B188" s="1" t="s">
        <v>1487</v>
      </c>
      <c r="C188" s="1" t="s">
        <v>1483</v>
      </c>
      <c r="D188" s="1" t="s">
        <v>1480</v>
      </c>
      <c r="E188" s="1">
        <v>13</v>
      </c>
      <c r="F188" s="1">
        <v>58</v>
      </c>
      <c r="G188" s="1">
        <v>154</v>
      </c>
      <c r="H188" s="1">
        <v>3</v>
      </c>
      <c r="I188" s="1">
        <v>30.19</v>
      </c>
      <c r="J188" s="1">
        <v>24.21</v>
      </c>
      <c r="K188" s="1">
        <v>80</v>
      </c>
      <c r="L188" s="1">
        <v>0</v>
      </c>
      <c r="M188" s="1">
        <v>45</v>
      </c>
      <c r="N188" s="1">
        <v>0</v>
      </c>
      <c r="O188" s="1" t="s">
        <v>53</v>
      </c>
      <c r="P188" s="1">
        <v>50</v>
      </c>
      <c r="Q188" s="1" t="s">
        <v>27</v>
      </c>
      <c r="R188" s="1">
        <v>105</v>
      </c>
      <c r="S188" s="1">
        <v>0</v>
      </c>
      <c r="T188" s="1">
        <v>0.45</v>
      </c>
      <c r="U188" s="1">
        <v>1.3</v>
      </c>
      <c r="V188" s="1">
        <v>1.1499999999999999</v>
      </c>
      <c r="W188" s="1"/>
      <c r="X188" s="1"/>
      <c r="Y188" s="1"/>
      <c r="Z188" s="3">
        <f>_xlfn.IFNA(VLOOKUP(D188,附件!$B$19:$C$21,2,FALSE)+附件!$C$23,0)+S188+J188*((200/(附件!$C$25+100))^0.5)</f>
        <v>24.21</v>
      </c>
      <c r="AA188" s="3">
        <f>G188*H188/Z188*R188/100</f>
        <v>20.037174721189594</v>
      </c>
      <c r="AB188">
        <f>G188*H188*R188/100</f>
        <v>485.1</v>
      </c>
      <c r="AC188">
        <f>$AA188*T188</f>
        <v>9.0167286245353182</v>
      </c>
      <c r="AD188">
        <f>$AA188*U188</f>
        <v>26.048327137546472</v>
      </c>
      <c r="AE188">
        <f>$AA188*V188</f>
        <v>23.042750929368029</v>
      </c>
    </row>
    <row r="189" spans="1:31" ht="23.25" customHeight="1" x14ac:dyDescent="0.2">
      <c r="A189" s="22" t="s">
        <v>85</v>
      </c>
      <c r="B189" s="1" t="s">
        <v>85</v>
      </c>
      <c r="C189" s="1" t="s">
        <v>1478</v>
      </c>
      <c r="D189" s="1" t="s">
        <v>1480</v>
      </c>
      <c r="E189" s="1">
        <v>3</v>
      </c>
      <c r="F189" s="1">
        <v>44</v>
      </c>
      <c r="G189" s="1">
        <v>61</v>
      </c>
      <c r="H189" s="1">
        <v>3</v>
      </c>
      <c r="I189" s="1">
        <v>31.17</v>
      </c>
      <c r="J189" s="1">
        <v>29.85</v>
      </c>
      <c r="K189" s="1">
        <v>80</v>
      </c>
      <c r="L189" s="1">
        <v>0</v>
      </c>
      <c r="M189" s="1">
        <v>5</v>
      </c>
      <c r="N189" s="1">
        <v>0</v>
      </c>
      <c r="O189" s="1" t="s">
        <v>53</v>
      </c>
      <c r="P189" s="1">
        <v>50</v>
      </c>
      <c r="Q189" s="1" t="s">
        <v>19</v>
      </c>
      <c r="R189" s="1">
        <v>105</v>
      </c>
      <c r="S189" s="1">
        <v>0</v>
      </c>
      <c r="T189" s="1">
        <v>1.4</v>
      </c>
      <c r="U189" s="1">
        <v>1.1000000000000001</v>
      </c>
      <c r="V189" s="1">
        <v>0.9</v>
      </c>
      <c r="W189" s="1"/>
      <c r="X189" s="1"/>
      <c r="Y189" s="1"/>
      <c r="Z189" s="3">
        <f>_xlfn.IFNA(VLOOKUP(D189,附件!$B$19:$C$21,2,FALSE)+附件!$C$23,0)+S189+J189*((200/(附件!$C$25+100))^0.5)</f>
        <v>29.85</v>
      </c>
      <c r="AA189" s="3">
        <f>G189*H189/Z189*R189/100</f>
        <v>6.4371859296482405</v>
      </c>
      <c r="AB189">
        <f>G189*H189*R189/100</f>
        <v>192.15</v>
      </c>
      <c r="AC189">
        <f>$AA189*T189</f>
        <v>9.0120603015075353</v>
      </c>
      <c r="AD189">
        <f>$AA189*U189</f>
        <v>7.0809045226130651</v>
      </c>
      <c r="AE189">
        <f>$AA189*V189</f>
        <v>5.7934673366834168</v>
      </c>
    </row>
    <row r="190" spans="1:31" ht="23.25" customHeight="1" x14ac:dyDescent="0.2">
      <c r="A190" s="22" t="s">
        <v>106</v>
      </c>
      <c r="B190" s="1" t="s">
        <v>106</v>
      </c>
      <c r="C190" s="1" t="s">
        <v>1476</v>
      </c>
      <c r="D190" s="1" t="s">
        <v>1485</v>
      </c>
      <c r="E190" s="1">
        <v>6</v>
      </c>
      <c r="F190" s="1">
        <v>8</v>
      </c>
      <c r="G190" s="1">
        <v>14</v>
      </c>
      <c r="H190" s="1">
        <v>1</v>
      </c>
      <c r="I190" s="1">
        <v>2.09</v>
      </c>
      <c r="J190" s="1">
        <v>1.71</v>
      </c>
      <c r="K190" s="1">
        <v>55</v>
      </c>
      <c r="L190" s="1">
        <v>5</v>
      </c>
      <c r="M190" s="1">
        <v>12</v>
      </c>
      <c r="N190" s="1">
        <v>0</v>
      </c>
      <c r="O190" s="1" t="s">
        <v>18</v>
      </c>
      <c r="P190" s="1">
        <v>120</v>
      </c>
      <c r="Q190" s="1" t="s">
        <v>27</v>
      </c>
      <c r="R190" s="1">
        <v>110</v>
      </c>
      <c r="S190" s="1">
        <v>0</v>
      </c>
      <c r="T190" s="1">
        <v>1</v>
      </c>
      <c r="U190" s="1">
        <v>0.8</v>
      </c>
      <c r="V190" s="1">
        <v>0.6</v>
      </c>
      <c r="W190" s="1"/>
      <c r="X190" s="1"/>
      <c r="Y190" s="1"/>
      <c r="Z190" s="3">
        <f>_xlfn.IFNA(VLOOKUP(D190,附件!$B$19:$C$21,2,FALSE)+附件!$C$23,0)+S190+J190*((200/(附件!$C$25+100))^0.5)</f>
        <v>1.71</v>
      </c>
      <c r="AA190" s="3">
        <f>G190*H190/Z190*R190/100</f>
        <v>9.0058479532163744</v>
      </c>
      <c r="AB190">
        <f>G190*H190*R190/100</f>
        <v>15.4</v>
      </c>
      <c r="AC190">
        <f>$AA190*T190</f>
        <v>9.0058479532163744</v>
      </c>
      <c r="AD190">
        <f>$AA190*U190</f>
        <v>7.2046783625730999</v>
      </c>
      <c r="AE190">
        <f>$AA190*V190</f>
        <v>5.4035087719298245</v>
      </c>
    </row>
    <row r="191" spans="1:31" ht="23.25" customHeight="1" x14ac:dyDescent="0.2">
      <c r="A191" s="22" t="s">
        <v>55</v>
      </c>
      <c r="B191" s="1" t="s">
        <v>55</v>
      </c>
      <c r="C191" s="1" t="s">
        <v>1478</v>
      </c>
      <c r="D191" s="1" t="s">
        <v>1480</v>
      </c>
      <c r="E191" s="1">
        <v>3</v>
      </c>
      <c r="F191" s="1">
        <v>42</v>
      </c>
      <c r="G191" s="1">
        <v>62</v>
      </c>
      <c r="H191" s="1">
        <v>2</v>
      </c>
      <c r="I191" s="1">
        <v>23.04</v>
      </c>
      <c r="J191" s="1">
        <v>21.66</v>
      </c>
      <c r="K191" s="1">
        <v>80</v>
      </c>
      <c r="L191" s="1">
        <v>0</v>
      </c>
      <c r="M191" s="1">
        <v>5</v>
      </c>
      <c r="N191" s="1">
        <v>0</v>
      </c>
      <c r="O191" s="1" t="s">
        <v>53</v>
      </c>
      <c r="P191" s="1">
        <v>50</v>
      </c>
      <c r="Q191" s="1" t="s">
        <v>19</v>
      </c>
      <c r="R191" s="1">
        <v>110</v>
      </c>
      <c r="S191" s="1">
        <v>0</v>
      </c>
      <c r="T191" s="1">
        <v>1.4</v>
      </c>
      <c r="U191" s="1">
        <v>1.1000000000000001</v>
      </c>
      <c r="V191" s="1">
        <v>0.9</v>
      </c>
      <c r="W191" s="1"/>
      <c r="X191" s="1"/>
      <c r="Y191" s="1"/>
      <c r="Z191" s="3">
        <f>_xlfn.IFNA(VLOOKUP(D191,附件!$B$19:$C$21,2,FALSE)+附件!$C$23,0)+S191+J191*((200/(附件!$C$25+100))^0.5)</f>
        <v>21.66</v>
      </c>
      <c r="AA191" s="3">
        <f>G191*H191/Z191*R191/100</f>
        <v>6.2973222530009227</v>
      </c>
      <c r="AB191">
        <f>G191*H191*R191/100</f>
        <v>136.4</v>
      </c>
      <c r="AC191">
        <f>$AA191*T191</f>
        <v>8.8162511542012911</v>
      </c>
      <c r="AD191">
        <f>$AA191*U191</f>
        <v>6.9270544783010157</v>
      </c>
      <c r="AE191">
        <f>$AA191*V191</f>
        <v>5.6675900277008306</v>
      </c>
    </row>
    <row r="192" spans="1:31" ht="23.25" customHeight="1" x14ac:dyDescent="0.2">
      <c r="A192" s="22" t="s">
        <v>42</v>
      </c>
      <c r="B192" s="1" t="s">
        <v>42</v>
      </c>
      <c r="C192" s="1" t="s">
        <v>1478</v>
      </c>
      <c r="D192" s="1" t="s">
        <v>1485</v>
      </c>
      <c r="E192" s="1">
        <v>3</v>
      </c>
      <c r="F192" s="1">
        <v>5</v>
      </c>
      <c r="G192" s="1">
        <v>8</v>
      </c>
      <c r="H192" s="1">
        <v>4</v>
      </c>
      <c r="I192" s="1">
        <v>4.47</v>
      </c>
      <c r="J192" s="1">
        <v>4.16</v>
      </c>
      <c r="K192" s="1">
        <v>55</v>
      </c>
      <c r="L192" s="1">
        <v>28</v>
      </c>
      <c r="M192" s="1">
        <v>5</v>
      </c>
      <c r="N192" s="1">
        <v>0</v>
      </c>
      <c r="O192" s="1" t="s">
        <v>43</v>
      </c>
      <c r="P192" s="1">
        <v>120</v>
      </c>
      <c r="Q192" s="1" t="s">
        <v>64</v>
      </c>
      <c r="R192" s="1">
        <v>110</v>
      </c>
      <c r="S192" s="1">
        <v>0</v>
      </c>
      <c r="T192" s="1">
        <v>1</v>
      </c>
      <c r="U192" s="1">
        <v>0.75</v>
      </c>
      <c r="V192" s="1">
        <v>0.4</v>
      </c>
      <c r="W192" s="1"/>
      <c r="X192" s="1"/>
      <c r="Y192" s="1"/>
      <c r="Z192" s="3">
        <f>_xlfn.IFNA(VLOOKUP(D192,附件!$B$19:$C$21,2,FALSE)+附件!$C$23,0)+S192+J192*((200/(附件!$C$25+100))^0.5)</f>
        <v>4.16</v>
      </c>
      <c r="AA192" s="3">
        <f>G192*H192/Z192*R192/100</f>
        <v>8.4615384615384599</v>
      </c>
      <c r="AB192">
        <f>G192*H192*R192/100</f>
        <v>35.200000000000003</v>
      </c>
      <c r="AC192">
        <f>$AA192*T192</f>
        <v>8.4615384615384599</v>
      </c>
      <c r="AD192">
        <f>$AA192*U192</f>
        <v>6.3461538461538449</v>
      </c>
      <c r="AE192">
        <f>$AA192*V192</f>
        <v>3.3846153846153841</v>
      </c>
    </row>
    <row r="193" spans="1:31" ht="23.25" customHeight="1" x14ac:dyDescent="0.2">
      <c r="A193" s="22" t="s">
        <v>1492</v>
      </c>
      <c r="B193" s="1" t="s">
        <v>1492</v>
      </c>
      <c r="C193" s="1" t="s">
        <v>1476</v>
      </c>
      <c r="D193" s="1" t="s">
        <v>1480</v>
      </c>
      <c r="E193" s="1">
        <v>6</v>
      </c>
      <c r="F193" s="1">
        <v>52</v>
      </c>
      <c r="G193" s="1">
        <v>112</v>
      </c>
      <c r="H193" s="1">
        <v>3</v>
      </c>
      <c r="I193" s="1">
        <v>33.19</v>
      </c>
      <c r="J193" s="1">
        <v>29.2</v>
      </c>
      <c r="K193" s="1">
        <v>80</v>
      </c>
      <c r="L193" s="1">
        <v>0</v>
      </c>
      <c r="M193" s="1">
        <v>12</v>
      </c>
      <c r="N193" s="1">
        <v>0</v>
      </c>
      <c r="O193" s="1" t="s">
        <v>53</v>
      </c>
      <c r="P193" s="1">
        <v>50</v>
      </c>
      <c r="Q193" s="1" t="s">
        <v>64</v>
      </c>
      <c r="R193" s="1">
        <v>105</v>
      </c>
      <c r="S193" s="1">
        <v>0</v>
      </c>
      <c r="T193" s="1">
        <v>0.7</v>
      </c>
      <c r="U193" s="1">
        <v>1</v>
      </c>
      <c r="V193" s="1">
        <v>0.9</v>
      </c>
      <c r="W193" s="1"/>
      <c r="X193" s="1"/>
      <c r="Y193" s="1"/>
      <c r="Z193" s="3">
        <f>_xlfn.IFNA(VLOOKUP(D193,附件!$B$19:$C$21,2,FALSE)+附件!$C$23,0)+S193+J193*((200/(附件!$C$25+100))^0.5)</f>
        <v>29.2</v>
      </c>
      <c r="AA193" s="3">
        <f>G193*H193/Z193*R193/100</f>
        <v>12.082191780821917</v>
      </c>
      <c r="AB193">
        <f>G193*H193*R193/100</f>
        <v>352.8</v>
      </c>
      <c r="AC193">
        <f>$AA193*T193</f>
        <v>8.4575342465753423</v>
      </c>
      <c r="AD193">
        <f>$AA193*U193</f>
        <v>12.082191780821917</v>
      </c>
      <c r="AE193">
        <f>$AA193*V193</f>
        <v>10.873972602739725</v>
      </c>
    </row>
    <row r="194" spans="1:31" ht="23.25" customHeight="1" x14ac:dyDescent="0.2">
      <c r="A194" s="22" t="s">
        <v>1522</v>
      </c>
      <c r="B194" s="1" t="s">
        <v>1522</v>
      </c>
      <c r="C194" s="1" t="s">
        <v>1478</v>
      </c>
      <c r="D194" s="1" t="s">
        <v>1477</v>
      </c>
      <c r="E194" s="1">
        <v>3</v>
      </c>
      <c r="F194" s="1">
        <v>4</v>
      </c>
      <c r="G194" s="1">
        <v>6</v>
      </c>
      <c r="H194" s="1">
        <v>1</v>
      </c>
      <c r="I194" s="1">
        <v>0.96</v>
      </c>
      <c r="J194" s="1">
        <v>0.9</v>
      </c>
      <c r="K194" s="1">
        <v>50</v>
      </c>
      <c r="L194" s="1">
        <v>5</v>
      </c>
      <c r="M194" s="1">
        <v>0</v>
      </c>
      <c r="N194" s="1">
        <v>0</v>
      </c>
      <c r="O194" s="1" t="s">
        <v>18</v>
      </c>
      <c r="P194" s="1">
        <v>360</v>
      </c>
      <c r="Q194" s="1" t="s">
        <v>64</v>
      </c>
      <c r="R194" s="1">
        <v>125</v>
      </c>
      <c r="S194" s="1">
        <v>0</v>
      </c>
      <c r="T194" s="1">
        <v>1</v>
      </c>
      <c r="U194" s="1">
        <v>0.5</v>
      </c>
      <c r="V194" s="1">
        <v>0.2</v>
      </c>
      <c r="W194" s="1"/>
      <c r="X194" s="1"/>
      <c r="Y194" s="1"/>
      <c r="Z194" s="3">
        <f>_xlfn.IFNA(VLOOKUP(D194,附件!$B$19:$C$21,2,FALSE)+附件!$C$23,0)+S194+J194*((200/(附件!$C$25+100))^0.5)</f>
        <v>0.9</v>
      </c>
      <c r="AA194" s="3">
        <f>G194*H194/Z194*R194/100</f>
        <v>8.3333333333333321</v>
      </c>
      <c r="AB194">
        <f>G194*H194*R194/100</f>
        <v>7.5</v>
      </c>
      <c r="AC194">
        <f>$AA194*T194</f>
        <v>8.3333333333333321</v>
      </c>
      <c r="AD194">
        <f>$AA194*U194</f>
        <v>4.1666666666666661</v>
      </c>
      <c r="AE194">
        <f>$AA194*V194</f>
        <v>1.6666666666666665</v>
      </c>
    </row>
    <row r="195" spans="1:31" ht="23.25" customHeight="1" x14ac:dyDescent="0.2">
      <c r="A195" s="22" t="s">
        <v>1552</v>
      </c>
      <c r="B195" s="1" t="s">
        <v>1552</v>
      </c>
      <c r="C195" s="1" t="s">
        <v>1483</v>
      </c>
      <c r="D195" s="1" t="s">
        <v>1480</v>
      </c>
      <c r="E195" s="1">
        <v>13</v>
      </c>
      <c r="F195" s="1">
        <v>54</v>
      </c>
      <c r="G195" s="1">
        <v>150</v>
      </c>
      <c r="H195" s="1">
        <v>3</v>
      </c>
      <c r="I195" s="1">
        <v>30</v>
      </c>
      <c r="J195" s="1">
        <v>24.02</v>
      </c>
      <c r="K195" s="1">
        <v>80</v>
      </c>
      <c r="L195" s="1">
        <v>0</v>
      </c>
      <c r="M195" s="1">
        <v>45</v>
      </c>
      <c r="N195" s="1">
        <v>0</v>
      </c>
      <c r="O195" s="1" t="s">
        <v>53</v>
      </c>
      <c r="P195" s="1">
        <v>50</v>
      </c>
      <c r="Q195" s="1" t="s">
        <v>27</v>
      </c>
      <c r="R195" s="1">
        <v>110</v>
      </c>
      <c r="S195" s="1">
        <v>0</v>
      </c>
      <c r="T195" s="1">
        <v>0.4</v>
      </c>
      <c r="U195" s="1">
        <v>1.4</v>
      </c>
      <c r="V195" s="1">
        <v>1.2</v>
      </c>
      <c r="W195" s="1"/>
      <c r="X195" s="1"/>
      <c r="Y195" s="1"/>
      <c r="Z195" s="3">
        <f>_xlfn.IFNA(VLOOKUP(D195,附件!$B$19:$C$21,2,FALSE)+附件!$C$23,0)+S195+J195*((200/(附件!$C$25+100))^0.5)</f>
        <v>24.02</v>
      </c>
      <c r="AA195" s="3">
        <f>G195*H195/Z195*R195/100</f>
        <v>20.60782681099084</v>
      </c>
      <c r="AB195">
        <f>G195*H195*R195/100</f>
        <v>495</v>
      </c>
      <c r="AC195">
        <f>$AA195*T195</f>
        <v>8.2431307243963357</v>
      </c>
      <c r="AD195">
        <f>$AA195*U195</f>
        <v>28.850957535387174</v>
      </c>
      <c r="AE195">
        <f>$AA195*V195</f>
        <v>24.729392173189009</v>
      </c>
    </row>
    <row r="196" spans="1:31" ht="23.25" customHeight="1" x14ac:dyDescent="0.2">
      <c r="A196" s="22" t="s">
        <v>126</v>
      </c>
      <c r="B196" s="1" t="s">
        <v>126</v>
      </c>
      <c r="C196" s="1" t="s">
        <v>1478</v>
      </c>
      <c r="D196" s="1" t="s">
        <v>1477</v>
      </c>
      <c r="E196" s="1">
        <v>3</v>
      </c>
      <c r="F196" s="1">
        <v>4</v>
      </c>
      <c r="G196" s="1">
        <v>6</v>
      </c>
      <c r="H196" s="1">
        <v>2</v>
      </c>
      <c r="I196" s="1">
        <v>1.76</v>
      </c>
      <c r="J196" s="1">
        <v>1.65</v>
      </c>
      <c r="K196" s="1">
        <v>50</v>
      </c>
      <c r="L196" s="1">
        <v>0</v>
      </c>
      <c r="M196" s="1">
        <v>2</v>
      </c>
      <c r="N196" s="1">
        <v>3</v>
      </c>
      <c r="O196" s="1" t="s">
        <v>18</v>
      </c>
      <c r="P196" s="1">
        <v>360</v>
      </c>
      <c r="Q196" s="1" t="s">
        <v>64</v>
      </c>
      <c r="R196" s="1">
        <v>110</v>
      </c>
      <c r="S196" s="1">
        <v>0</v>
      </c>
      <c r="T196" s="1">
        <v>1</v>
      </c>
      <c r="U196" s="1">
        <v>0.5</v>
      </c>
      <c r="V196" s="1">
        <v>0.2</v>
      </c>
      <c r="W196" s="1"/>
      <c r="X196" s="1"/>
      <c r="Y196" s="1"/>
      <c r="Z196" s="3">
        <f>_xlfn.IFNA(VLOOKUP(D196,附件!$B$19:$C$21,2,FALSE)+附件!$C$23,0)+S196+J196*((200/(附件!$C$25+100))^0.5)</f>
        <v>1.65</v>
      </c>
      <c r="AA196" s="3">
        <f>G196*H196/Z196*R196/100</f>
        <v>8.0000000000000018</v>
      </c>
      <c r="AB196">
        <f>G196*H196*R196/100</f>
        <v>13.2</v>
      </c>
      <c r="AC196">
        <f>$AA196*T196</f>
        <v>8.0000000000000018</v>
      </c>
      <c r="AD196">
        <f>$AA196*U196</f>
        <v>4.0000000000000009</v>
      </c>
      <c r="AE196">
        <f>$AA196*V196</f>
        <v>1.6000000000000005</v>
      </c>
    </row>
    <row r="197" spans="1:31" ht="23.25" customHeight="1" x14ac:dyDescent="0.2">
      <c r="A197" s="22" t="s">
        <v>72</v>
      </c>
      <c r="B197" s="1" t="s">
        <v>72</v>
      </c>
      <c r="C197" s="1" t="s">
        <v>1476</v>
      </c>
      <c r="D197" s="1" t="s">
        <v>1477</v>
      </c>
      <c r="E197" s="1">
        <v>6</v>
      </c>
      <c r="F197" s="1">
        <v>3</v>
      </c>
      <c r="G197" s="1">
        <v>7</v>
      </c>
      <c r="H197" s="1">
        <v>3</v>
      </c>
      <c r="I197" s="1">
        <v>3.33</v>
      </c>
      <c r="J197" s="1">
        <v>3.13</v>
      </c>
      <c r="K197" s="1">
        <v>50</v>
      </c>
      <c r="L197" s="1">
        <v>25</v>
      </c>
      <c r="M197" s="1">
        <v>12</v>
      </c>
      <c r="N197" s="1">
        <v>0</v>
      </c>
      <c r="O197" s="1" t="s">
        <v>18</v>
      </c>
      <c r="P197" s="1">
        <v>360</v>
      </c>
      <c r="Q197" s="1" t="s">
        <v>64</v>
      </c>
      <c r="R197" s="1">
        <v>125</v>
      </c>
      <c r="S197" s="1">
        <v>0.3</v>
      </c>
      <c r="T197" s="1">
        <v>1</v>
      </c>
      <c r="U197" s="1">
        <v>0.5</v>
      </c>
      <c r="V197" s="1">
        <v>0.2</v>
      </c>
      <c r="W197" s="1"/>
      <c r="X197" s="1"/>
      <c r="Y197" s="1"/>
      <c r="Z197" s="3">
        <f>_xlfn.IFNA(VLOOKUP(D197,附件!$B$19:$C$21,2,FALSE)+附件!$C$23,0)+S197+J197*((200/(附件!$C$25+100))^0.5)</f>
        <v>3.4299999999999997</v>
      </c>
      <c r="AA197" s="3">
        <f>G197*H197/Z197*R197/100</f>
        <v>7.6530612244897966</v>
      </c>
      <c r="AB197">
        <f>G197*H197*R197/100</f>
        <v>26.25</v>
      </c>
      <c r="AC197">
        <f>$AA197*T197</f>
        <v>7.6530612244897966</v>
      </c>
      <c r="AD197">
        <f>$AA197*U197</f>
        <v>3.8265306122448983</v>
      </c>
      <c r="AE197">
        <f>$AA197*V197</f>
        <v>1.5306122448979593</v>
      </c>
    </row>
    <row r="198" spans="1:31" ht="23.25" customHeight="1" x14ac:dyDescent="0.2">
      <c r="A198" s="22" t="s">
        <v>1550</v>
      </c>
      <c r="B198" s="1" t="s">
        <v>1550</v>
      </c>
      <c r="C198" s="1" t="s">
        <v>1481</v>
      </c>
      <c r="D198" s="1" t="s">
        <v>1480</v>
      </c>
      <c r="E198" s="1">
        <v>11</v>
      </c>
      <c r="F198" s="1">
        <v>58</v>
      </c>
      <c r="G198" s="1">
        <v>154</v>
      </c>
      <c r="H198" s="1">
        <v>2</v>
      </c>
      <c r="I198" s="1">
        <v>23.92</v>
      </c>
      <c r="J198" s="1">
        <v>19.93</v>
      </c>
      <c r="K198" s="1">
        <v>80</v>
      </c>
      <c r="L198" s="1">
        <v>0</v>
      </c>
      <c r="M198" s="1">
        <v>25</v>
      </c>
      <c r="N198" s="1">
        <v>0</v>
      </c>
      <c r="O198" s="1" t="s">
        <v>53</v>
      </c>
      <c r="P198" s="1">
        <v>50</v>
      </c>
      <c r="Q198" s="1" t="s">
        <v>27</v>
      </c>
      <c r="R198" s="1">
        <v>110</v>
      </c>
      <c r="S198" s="1">
        <v>0</v>
      </c>
      <c r="T198" s="1">
        <v>0.45</v>
      </c>
      <c r="U198" s="1">
        <v>1.3</v>
      </c>
      <c r="V198" s="1">
        <v>1.1000000000000001</v>
      </c>
      <c r="W198" s="1"/>
      <c r="X198" s="1"/>
      <c r="Y198" s="1"/>
      <c r="Z198" s="3">
        <f>_xlfn.IFNA(VLOOKUP(D198,附件!$B$19:$C$21,2,FALSE)+附件!$C$23,0)+S198+J198*((200/(附件!$C$25+100))^0.5)</f>
        <v>19.93</v>
      </c>
      <c r="AA198" s="3">
        <f>G198*H198/Z198*R198/100</f>
        <v>16.999498243853488</v>
      </c>
      <c r="AB198">
        <f>G198*H198*R198/100</f>
        <v>338.8</v>
      </c>
      <c r="AC198">
        <f>$AA198*T198</f>
        <v>7.64977420973407</v>
      </c>
      <c r="AD198">
        <f>$AA198*U198</f>
        <v>22.099347717009536</v>
      </c>
      <c r="AE198">
        <f>$AA198*V198</f>
        <v>18.699448068238837</v>
      </c>
    </row>
    <row r="199" spans="1:31" ht="23.25" customHeight="1" x14ac:dyDescent="0.2">
      <c r="A199" s="22" t="s">
        <v>862</v>
      </c>
      <c r="B199" s="1" t="s">
        <v>862</v>
      </c>
      <c r="C199" s="1" t="s">
        <v>1483</v>
      </c>
      <c r="D199" s="1" t="s">
        <v>1480</v>
      </c>
      <c r="E199" s="1">
        <v>13</v>
      </c>
      <c r="F199" s="1">
        <v>52</v>
      </c>
      <c r="G199" s="1">
        <v>148</v>
      </c>
      <c r="H199" s="1">
        <v>3</v>
      </c>
      <c r="I199" s="1">
        <v>30.02</v>
      </c>
      <c r="J199" s="1">
        <v>24.02</v>
      </c>
      <c r="K199" s="1">
        <v>80</v>
      </c>
      <c r="L199" s="1">
        <v>0</v>
      </c>
      <c r="M199" s="1">
        <v>45</v>
      </c>
      <c r="N199" s="1">
        <v>0</v>
      </c>
      <c r="O199" s="1" t="s">
        <v>53</v>
      </c>
      <c r="P199" s="1">
        <v>50</v>
      </c>
      <c r="Q199" s="1" t="s">
        <v>27</v>
      </c>
      <c r="R199" s="1">
        <v>100</v>
      </c>
      <c r="S199" s="1">
        <v>0</v>
      </c>
      <c r="T199" s="1">
        <v>0.4</v>
      </c>
      <c r="U199" s="1">
        <v>1.35</v>
      </c>
      <c r="V199" s="1">
        <v>1.1499999999999999</v>
      </c>
      <c r="W199" s="1"/>
      <c r="X199" s="1"/>
      <c r="Y199" s="1"/>
      <c r="Z199" s="3">
        <f>_xlfn.IFNA(VLOOKUP(D199,附件!$B$19:$C$21,2,FALSE)+附件!$C$23,0)+S199+J199*((200/(附件!$C$25+100))^0.5)</f>
        <v>24.02</v>
      </c>
      <c r="AA199" s="3">
        <f>G199*H199/Z199*R199/100</f>
        <v>18.484596169858452</v>
      </c>
      <c r="AB199">
        <f>G199*H199*R199/100</f>
        <v>444</v>
      </c>
      <c r="AC199">
        <f>$AA199*T199</f>
        <v>7.3938384679433815</v>
      </c>
      <c r="AD199">
        <f>$AA199*U199</f>
        <v>24.954204829308914</v>
      </c>
      <c r="AE199">
        <f>$AA199*V199</f>
        <v>21.257285595337219</v>
      </c>
    </row>
    <row r="200" spans="1:31" ht="23.25" customHeight="1" x14ac:dyDescent="0.2">
      <c r="A200" s="22" t="s">
        <v>87</v>
      </c>
      <c r="B200" s="1" t="s">
        <v>87</v>
      </c>
      <c r="C200" s="1" t="s">
        <v>1476</v>
      </c>
      <c r="D200" s="1" t="s">
        <v>1480</v>
      </c>
      <c r="E200" s="1">
        <v>6</v>
      </c>
      <c r="F200" s="1">
        <v>48</v>
      </c>
      <c r="G200" s="1">
        <v>96</v>
      </c>
      <c r="H200" s="1">
        <v>3</v>
      </c>
      <c r="I200" s="1">
        <v>33.19</v>
      </c>
      <c r="J200" s="1">
        <v>29.2</v>
      </c>
      <c r="K200" s="1">
        <v>80</v>
      </c>
      <c r="L200" s="1">
        <v>0</v>
      </c>
      <c r="M200" s="1">
        <v>12</v>
      </c>
      <c r="N200" s="1">
        <v>0</v>
      </c>
      <c r="O200" s="1" t="s">
        <v>53</v>
      </c>
      <c r="P200" s="1">
        <v>50</v>
      </c>
      <c r="Q200" s="1" t="s">
        <v>64</v>
      </c>
      <c r="R200" s="1">
        <v>105</v>
      </c>
      <c r="S200" s="1">
        <v>0</v>
      </c>
      <c r="T200" s="1">
        <v>0.7</v>
      </c>
      <c r="U200" s="1">
        <v>1</v>
      </c>
      <c r="V200" s="1">
        <v>0.9</v>
      </c>
      <c r="W200" s="1"/>
      <c r="X200" s="1"/>
      <c r="Y200" s="1"/>
      <c r="Z200" s="3">
        <f>_xlfn.IFNA(VLOOKUP(D200,附件!$B$19:$C$21,2,FALSE)+附件!$C$23,0)+S200+J200*((200/(附件!$C$25+100))^0.5)</f>
        <v>29.2</v>
      </c>
      <c r="AA200" s="3">
        <f>G200*H200/Z200*R200/100</f>
        <v>10.356164383561644</v>
      </c>
      <c r="AB200">
        <f>G200*H200*R200/100</f>
        <v>302.39999999999998</v>
      </c>
      <c r="AC200">
        <f>$AA200*T200</f>
        <v>7.2493150684931509</v>
      </c>
      <c r="AD200">
        <f>$AA200*U200</f>
        <v>10.356164383561644</v>
      </c>
      <c r="AE200">
        <f>$AA200*V200</f>
        <v>9.3205479452054796</v>
      </c>
    </row>
    <row r="201" spans="1:31" ht="23.25" customHeight="1" x14ac:dyDescent="0.2">
      <c r="A201" s="22" t="s">
        <v>1545</v>
      </c>
      <c r="B201" s="1" t="s">
        <v>1545</v>
      </c>
      <c r="C201" s="1" t="s">
        <v>1481</v>
      </c>
      <c r="D201" s="1" t="s">
        <v>1480</v>
      </c>
      <c r="E201" s="1">
        <v>11</v>
      </c>
      <c r="F201" s="1">
        <v>58</v>
      </c>
      <c r="G201" s="1">
        <v>154</v>
      </c>
      <c r="H201" s="1">
        <v>2</v>
      </c>
      <c r="I201" s="1">
        <v>25.14</v>
      </c>
      <c r="J201" s="1">
        <v>21.15</v>
      </c>
      <c r="K201" s="1">
        <v>80</v>
      </c>
      <c r="L201" s="1">
        <v>0</v>
      </c>
      <c r="M201" s="1">
        <v>25</v>
      </c>
      <c r="N201" s="1">
        <v>0</v>
      </c>
      <c r="O201" s="1" t="s">
        <v>53</v>
      </c>
      <c r="P201" s="1">
        <v>50</v>
      </c>
      <c r="Q201" s="1" t="s">
        <v>27</v>
      </c>
      <c r="R201" s="1">
        <v>110</v>
      </c>
      <c r="S201" s="1">
        <v>0</v>
      </c>
      <c r="T201" s="1">
        <v>0.45</v>
      </c>
      <c r="U201" s="1">
        <v>1.3</v>
      </c>
      <c r="V201" s="1">
        <v>1.1000000000000001</v>
      </c>
      <c r="W201" s="1"/>
      <c r="X201" s="1"/>
      <c r="Y201" s="1"/>
      <c r="Z201" s="3">
        <f>_xlfn.IFNA(VLOOKUP(D201,附件!$B$19:$C$21,2,FALSE)+附件!$C$23,0)+S201+J201*((200/(附件!$C$25+100))^0.5)</f>
        <v>21.15</v>
      </c>
      <c r="AA201" s="3">
        <f>G201*H201/Z201*R201/100</f>
        <v>16.018912529550832</v>
      </c>
      <c r="AB201">
        <f>G201*H201*R201/100</f>
        <v>338.8</v>
      </c>
      <c r="AC201">
        <f>$AA201*T201</f>
        <v>7.2085106382978745</v>
      </c>
      <c r="AD201">
        <f>$AA201*U201</f>
        <v>20.824586288416082</v>
      </c>
      <c r="AE201">
        <f>$AA201*V201</f>
        <v>17.620803782505917</v>
      </c>
    </row>
    <row r="202" spans="1:31" ht="23.25" customHeight="1" x14ac:dyDescent="0.2">
      <c r="A202" s="22" t="s">
        <v>859</v>
      </c>
      <c r="B202" s="1" t="s">
        <v>859</v>
      </c>
      <c r="C202" s="1" t="s">
        <v>1481</v>
      </c>
      <c r="D202" s="1" t="s">
        <v>1480</v>
      </c>
      <c r="E202" s="1">
        <v>10</v>
      </c>
      <c r="F202" s="1">
        <v>47</v>
      </c>
      <c r="G202" s="1">
        <v>135</v>
      </c>
      <c r="H202" s="1">
        <v>3</v>
      </c>
      <c r="I202" s="1">
        <v>31.6</v>
      </c>
      <c r="J202" s="1">
        <v>25.29</v>
      </c>
      <c r="K202" s="1">
        <v>80</v>
      </c>
      <c r="L202" s="1">
        <v>0</v>
      </c>
      <c r="M202" s="1">
        <v>25</v>
      </c>
      <c r="N202" s="1">
        <v>0</v>
      </c>
      <c r="O202" s="1" t="s">
        <v>53</v>
      </c>
      <c r="P202" s="1">
        <v>50</v>
      </c>
      <c r="Q202" s="1" t="s">
        <v>27</v>
      </c>
      <c r="R202" s="1">
        <v>100</v>
      </c>
      <c r="S202" s="1">
        <v>0</v>
      </c>
      <c r="T202" s="1">
        <v>0.45</v>
      </c>
      <c r="U202" s="1">
        <v>1.3</v>
      </c>
      <c r="V202" s="1">
        <v>1.1000000000000001</v>
      </c>
      <c r="W202" s="1"/>
      <c r="X202" s="1"/>
      <c r="Y202" s="1"/>
      <c r="Z202" s="3">
        <f>_xlfn.IFNA(VLOOKUP(D202,附件!$B$19:$C$21,2,FALSE)+附件!$C$23,0)+S202+J202*((200/(附件!$C$25+100))^0.5)</f>
        <v>25.29</v>
      </c>
      <c r="AA202" s="3">
        <f>G202*H202/Z202*R202/100</f>
        <v>16.014234875444842</v>
      </c>
      <c r="AB202">
        <f>G202*H202*R202/100</f>
        <v>405</v>
      </c>
      <c r="AC202">
        <f>$AA202*T202</f>
        <v>7.2064056939501793</v>
      </c>
      <c r="AD202">
        <f>$AA202*U202</f>
        <v>20.818505338078296</v>
      </c>
      <c r="AE202">
        <f>$AA202*V202</f>
        <v>17.615658362989329</v>
      </c>
    </row>
    <row r="203" spans="1:31" ht="23.25" customHeight="1" x14ac:dyDescent="0.2">
      <c r="A203" s="22" t="s">
        <v>91</v>
      </c>
      <c r="B203" s="1" t="s">
        <v>91</v>
      </c>
      <c r="C203" s="1" t="s">
        <v>1476</v>
      </c>
      <c r="D203" s="1" t="s">
        <v>1485</v>
      </c>
      <c r="E203" s="1">
        <v>6</v>
      </c>
      <c r="F203" s="1">
        <v>8</v>
      </c>
      <c r="G203" s="1">
        <v>14</v>
      </c>
      <c r="H203" s="1">
        <v>3</v>
      </c>
      <c r="I203" s="1">
        <v>6.26</v>
      </c>
      <c r="J203" s="1">
        <v>5.88</v>
      </c>
      <c r="K203" s="1">
        <v>55</v>
      </c>
      <c r="L203" s="1">
        <v>25</v>
      </c>
      <c r="M203" s="1">
        <v>12</v>
      </c>
      <c r="N203" s="1">
        <v>0</v>
      </c>
      <c r="O203" s="1" t="s">
        <v>18</v>
      </c>
      <c r="P203" s="1">
        <v>120</v>
      </c>
      <c r="Q203" s="1" t="s">
        <v>27</v>
      </c>
      <c r="R203" s="1">
        <v>105</v>
      </c>
      <c r="S203" s="1">
        <v>0.3</v>
      </c>
      <c r="T203" s="1">
        <v>1</v>
      </c>
      <c r="U203" s="1">
        <v>0.8</v>
      </c>
      <c r="V203" s="1">
        <v>0.6</v>
      </c>
      <c r="W203" s="1"/>
      <c r="X203" s="1"/>
      <c r="Y203" s="1"/>
      <c r="Z203" s="3">
        <f>_xlfn.IFNA(VLOOKUP(D203,附件!$B$19:$C$21,2,FALSE)+附件!$C$23,0)+S203+J203*((200/(附件!$C$25+100))^0.5)</f>
        <v>6.18</v>
      </c>
      <c r="AA203" s="3">
        <f>G203*H203/Z203*R203/100</f>
        <v>7.1359223300970882</v>
      </c>
      <c r="AB203">
        <f>G203*H203*R203/100</f>
        <v>44.1</v>
      </c>
      <c r="AC203">
        <f>$AA203*T203</f>
        <v>7.1359223300970882</v>
      </c>
      <c r="AD203">
        <f>$AA203*U203</f>
        <v>5.7087378640776709</v>
      </c>
      <c r="AE203">
        <f>$AA203*V203</f>
        <v>4.2815533980582527</v>
      </c>
    </row>
    <row r="204" spans="1:31" ht="23.25" customHeight="1" x14ac:dyDescent="0.2">
      <c r="A204" s="22" t="s">
        <v>115</v>
      </c>
      <c r="B204" s="1" t="s">
        <v>115</v>
      </c>
      <c r="C204" s="1" t="s">
        <v>1483</v>
      </c>
      <c r="D204" s="1" t="s">
        <v>1480</v>
      </c>
      <c r="E204" s="1">
        <v>13</v>
      </c>
      <c r="F204" s="1">
        <v>58</v>
      </c>
      <c r="G204" s="1">
        <v>132</v>
      </c>
      <c r="H204" s="1">
        <v>2</v>
      </c>
      <c r="I204" s="1">
        <v>23.06</v>
      </c>
      <c r="J204" s="1">
        <v>18.38</v>
      </c>
      <c r="K204" s="1">
        <v>80</v>
      </c>
      <c r="L204" s="1">
        <v>0</v>
      </c>
      <c r="M204" s="1">
        <v>45</v>
      </c>
      <c r="N204" s="1">
        <v>0</v>
      </c>
      <c r="O204" s="1" t="s">
        <v>53</v>
      </c>
      <c r="P204" s="1">
        <v>50</v>
      </c>
      <c r="Q204" s="1" t="s">
        <v>27</v>
      </c>
      <c r="R204" s="1">
        <v>110</v>
      </c>
      <c r="S204" s="1">
        <v>0</v>
      </c>
      <c r="T204" s="1">
        <v>0.45</v>
      </c>
      <c r="U204" s="1">
        <v>1.3</v>
      </c>
      <c r="V204" s="1">
        <v>1.1000000000000001</v>
      </c>
      <c r="W204" s="1"/>
      <c r="X204" s="1"/>
      <c r="Y204" s="1"/>
      <c r="Z204" s="3">
        <f>_xlfn.IFNA(VLOOKUP(D204,附件!$B$19:$C$21,2,FALSE)+附件!$C$23,0)+S204+J204*((200/(附件!$C$25+100))^0.5)</f>
        <v>18.38</v>
      </c>
      <c r="AA204" s="3">
        <f>G204*H204/Z204*R204/100</f>
        <v>15.799782372143634</v>
      </c>
      <c r="AB204">
        <f>G204*H204*R204/100</f>
        <v>290.39999999999998</v>
      </c>
      <c r="AC204">
        <f>$AA204*T204</f>
        <v>7.1099020674646356</v>
      </c>
      <c r="AD204">
        <f>$AA204*U204</f>
        <v>20.539717083786723</v>
      </c>
      <c r="AE204">
        <f>$AA204*V204</f>
        <v>17.379760609357998</v>
      </c>
    </row>
    <row r="205" spans="1:31" ht="23.25" customHeight="1" x14ac:dyDescent="0.2">
      <c r="A205" s="22" t="s">
        <v>69</v>
      </c>
      <c r="B205" s="1" t="s">
        <v>69</v>
      </c>
      <c r="C205" s="1" t="s">
        <v>1476</v>
      </c>
      <c r="D205" s="1" t="s">
        <v>1480</v>
      </c>
      <c r="E205" s="1">
        <v>6</v>
      </c>
      <c r="F205" s="1">
        <v>37</v>
      </c>
      <c r="G205" s="1">
        <v>64</v>
      </c>
      <c r="H205" s="1">
        <v>3</v>
      </c>
      <c r="I205" s="1">
        <v>23.28</v>
      </c>
      <c r="J205" s="1">
        <v>19.89</v>
      </c>
      <c r="K205" s="1">
        <v>80</v>
      </c>
      <c r="L205" s="1">
        <v>0</v>
      </c>
      <c r="M205" s="1">
        <v>12</v>
      </c>
      <c r="N205" s="1">
        <v>0</v>
      </c>
      <c r="O205" s="1" t="s">
        <v>53</v>
      </c>
      <c r="P205" s="1">
        <v>50</v>
      </c>
      <c r="Q205" s="1" t="s">
        <v>64</v>
      </c>
      <c r="R205" s="1">
        <v>105</v>
      </c>
      <c r="S205" s="1">
        <v>0</v>
      </c>
      <c r="T205" s="1">
        <v>0.7</v>
      </c>
      <c r="U205" s="1">
        <v>1</v>
      </c>
      <c r="V205" s="1">
        <v>0.9</v>
      </c>
      <c r="W205" s="1"/>
      <c r="X205" s="1"/>
      <c r="Y205" s="1"/>
      <c r="Z205" s="3">
        <f>_xlfn.IFNA(VLOOKUP(D205,附件!$B$19:$C$21,2,FALSE)+附件!$C$23,0)+S205+J205*((200/(附件!$C$25+100))^0.5)</f>
        <v>19.89</v>
      </c>
      <c r="AA205" s="3">
        <f>G205*H205/Z205*R205/100</f>
        <v>10.135746606334841</v>
      </c>
      <c r="AB205">
        <f>G205*H205*R205/100</f>
        <v>201.6</v>
      </c>
      <c r="AC205">
        <f>$AA205*T205</f>
        <v>7.0950226244343879</v>
      </c>
      <c r="AD205">
        <f>$AA205*U205</f>
        <v>10.135746606334841</v>
      </c>
      <c r="AE205">
        <f>$AA205*V205</f>
        <v>9.122171945701357</v>
      </c>
    </row>
    <row r="206" spans="1:31" ht="23.25" customHeight="1" x14ac:dyDescent="0.2">
      <c r="A206" s="22" t="s">
        <v>148</v>
      </c>
      <c r="B206" s="1" t="s">
        <v>148</v>
      </c>
      <c r="C206" s="1" t="s">
        <v>1481</v>
      </c>
      <c r="D206" s="1" t="s">
        <v>1480</v>
      </c>
      <c r="E206" s="1">
        <v>11</v>
      </c>
      <c r="F206" s="1">
        <v>41</v>
      </c>
      <c r="G206" s="1">
        <v>102</v>
      </c>
      <c r="H206" s="1">
        <v>4</v>
      </c>
      <c r="I206" s="1">
        <v>32.92</v>
      </c>
      <c r="J206" s="1">
        <v>26.34</v>
      </c>
      <c r="K206" s="1">
        <v>80</v>
      </c>
      <c r="L206" s="1">
        <v>0</v>
      </c>
      <c r="M206" s="1">
        <v>25</v>
      </c>
      <c r="N206" s="1">
        <v>0</v>
      </c>
      <c r="O206" s="1" t="s">
        <v>53</v>
      </c>
      <c r="P206" s="1">
        <v>50</v>
      </c>
      <c r="Q206" s="1" t="s">
        <v>27</v>
      </c>
      <c r="R206" s="1">
        <v>100</v>
      </c>
      <c r="S206" s="1">
        <v>0.15</v>
      </c>
      <c r="T206" s="1">
        <v>0.45</v>
      </c>
      <c r="U206" s="1">
        <v>1.3</v>
      </c>
      <c r="V206" s="1">
        <v>1.1000000000000001</v>
      </c>
      <c r="W206" s="1"/>
      <c r="X206" s="1"/>
      <c r="Y206" s="1"/>
      <c r="Z206" s="3">
        <f>_xlfn.IFNA(VLOOKUP(D206,附件!$B$19:$C$21,2,FALSE)+附件!$C$23,0)+S206+J206*((200/(附件!$C$25+100))^0.5)</f>
        <v>26.49</v>
      </c>
      <c r="AA206" s="3">
        <f>G206*H206/Z206*R206/100</f>
        <v>15.402038505096264</v>
      </c>
      <c r="AB206">
        <f>G206*H206*R206/100</f>
        <v>408</v>
      </c>
      <c r="AC206">
        <f>$AA206*T206</f>
        <v>6.9309173272933196</v>
      </c>
      <c r="AD206">
        <f>$AA206*U206</f>
        <v>20.022650056625146</v>
      </c>
      <c r="AE206">
        <f>$AA206*V206</f>
        <v>16.942242355605892</v>
      </c>
    </row>
    <row r="207" spans="1:31" ht="23.25" customHeight="1" x14ac:dyDescent="0.2">
      <c r="A207" s="22" t="s">
        <v>152</v>
      </c>
      <c r="B207" s="1" t="s">
        <v>152</v>
      </c>
      <c r="C207" s="1" t="s">
        <v>1476</v>
      </c>
      <c r="D207" s="1" t="s">
        <v>1480</v>
      </c>
      <c r="E207" s="1">
        <v>6</v>
      </c>
      <c r="F207" s="1">
        <v>40</v>
      </c>
      <c r="G207" s="1">
        <v>76</v>
      </c>
      <c r="H207" s="1">
        <v>4</v>
      </c>
      <c r="I207" s="1">
        <v>34.92</v>
      </c>
      <c r="J207" s="1">
        <v>30.73</v>
      </c>
      <c r="K207" s="1">
        <v>80</v>
      </c>
      <c r="L207" s="1">
        <v>0</v>
      </c>
      <c r="M207" s="1">
        <v>12</v>
      </c>
      <c r="N207" s="1">
        <v>0</v>
      </c>
      <c r="O207" s="1" t="s">
        <v>53</v>
      </c>
      <c r="P207" s="1">
        <v>50</v>
      </c>
      <c r="Q207" s="1" t="s">
        <v>64</v>
      </c>
      <c r="R207" s="1">
        <v>100</v>
      </c>
      <c r="S207" s="1">
        <v>0.15</v>
      </c>
      <c r="T207" s="1">
        <v>0.7</v>
      </c>
      <c r="U207" s="1">
        <v>1</v>
      </c>
      <c r="V207" s="1">
        <v>0.9</v>
      </c>
      <c r="W207" s="1"/>
      <c r="X207" s="1"/>
      <c r="Y207" s="1"/>
      <c r="Z207" s="3">
        <f>_xlfn.IFNA(VLOOKUP(D207,附件!$B$19:$C$21,2,FALSE)+附件!$C$23,0)+S207+J207*((200/(附件!$C$25+100))^0.5)</f>
        <v>30.88</v>
      </c>
      <c r="AA207" s="3">
        <f>G207*H207/Z207*R207/100</f>
        <v>9.8445595854922274</v>
      </c>
      <c r="AB207">
        <f>G207*H207*R207/100</f>
        <v>304</v>
      </c>
      <c r="AC207">
        <f>$AA207*T207</f>
        <v>6.8911917098445592</v>
      </c>
      <c r="AD207">
        <f>$AA207*U207</f>
        <v>9.8445595854922274</v>
      </c>
      <c r="AE207">
        <f>$AA207*V207</f>
        <v>8.8601036269430047</v>
      </c>
    </row>
    <row r="208" spans="1:31" ht="23.25" customHeight="1" x14ac:dyDescent="0.2">
      <c r="A208" s="22" t="s">
        <v>141</v>
      </c>
      <c r="B208" s="1" t="s">
        <v>141</v>
      </c>
      <c r="C208" s="1" t="s">
        <v>1481</v>
      </c>
      <c r="D208" s="1" t="s">
        <v>1480</v>
      </c>
      <c r="E208" s="1">
        <v>11</v>
      </c>
      <c r="F208" s="1">
        <v>56</v>
      </c>
      <c r="G208" s="1">
        <v>128</v>
      </c>
      <c r="H208" s="1">
        <v>2</v>
      </c>
      <c r="I208" s="1">
        <v>23.39</v>
      </c>
      <c r="J208" s="1">
        <v>18.72</v>
      </c>
      <c r="K208" s="1">
        <v>80</v>
      </c>
      <c r="L208" s="1">
        <v>0</v>
      </c>
      <c r="M208" s="1">
        <v>25</v>
      </c>
      <c r="N208" s="1">
        <v>0</v>
      </c>
      <c r="O208" s="1" t="s">
        <v>53</v>
      </c>
      <c r="P208" s="1">
        <v>50</v>
      </c>
      <c r="Q208" s="1" t="s">
        <v>27</v>
      </c>
      <c r="R208" s="1">
        <v>110</v>
      </c>
      <c r="S208" s="1">
        <v>0</v>
      </c>
      <c r="T208" s="1">
        <v>0.45</v>
      </c>
      <c r="U208" s="1">
        <v>1.3</v>
      </c>
      <c r="V208" s="1">
        <v>1.1000000000000001</v>
      </c>
      <c r="W208" s="1"/>
      <c r="X208" s="1"/>
      <c r="Y208" s="1"/>
      <c r="Z208" s="3">
        <f>_xlfn.IFNA(VLOOKUP(D208,附件!$B$19:$C$21,2,FALSE)+附件!$C$23,0)+S208+J208*((200/(附件!$C$25+100))^0.5)</f>
        <v>18.72</v>
      </c>
      <c r="AA208" s="3">
        <f>G208*H208/Z208*R208/100</f>
        <v>15.042735042735044</v>
      </c>
      <c r="AB208">
        <f>G208*H208*R208/100</f>
        <v>281.60000000000002</v>
      </c>
      <c r="AC208">
        <f>$AA208*T208</f>
        <v>6.7692307692307701</v>
      </c>
      <c r="AD208">
        <f>$AA208*U208</f>
        <v>19.555555555555557</v>
      </c>
      <c r="AE208">
        <f>$AA208*V208</f>
        <v>16.547008547008549</v>
      </c>
    </row>
    <row r="209" spans="1:31" ht="23.25" customHeight="1" x14ac:dyDescent="0.2">
      <c r="A209" s="22" t="s">
        <v>61</v>
      </c>
      <c r="B209" s="1" t="s">
        <v>61</v>
      </c>
      <c r="C209" s="1" t="s">
        <v>1478</v>
      </c>
      <c r="D209" s="1" t="s">
        <v>1477</v>
      </c>
      <c r="E209" s="1">
        <v>3</v>
      </c>
      <c r="F209" s="1">
        <v>3</v>
      </c>
      <c r="G209" s="1">
        <v>4</v>
      </c>
      <c r="H209" s="1">
        <v>1</v>
      </c>
      <c r="I209" s="1">
        <v>0.8</v>
      </c>
      <c r="J209" s="1">
        <v>0.74</v>
      </c>
      <c r="K209" s="1">
        <v>40</v>
      </c>
      <c r="L209" s="1">
        <v>5</v>
      </c>
      <c r="M209" s="1">
        <v>5</v>
      </c>
      <c r="N209" s="1">
        <v>0</v>
      </c>
      <c r="O209" s="1" t="s">
        <v>18</v>
      </c>
      <c r="P209" s="1">
        <v>360</v>
      </c>
      <c r="Q209" s="1" t="s">
        <v>64</v>
      </c>
      <c r="R209" s="1">
        <v>125</v>
      </c>
      <c r="S209" s="1">
        <v>0</v>
      </c>
      <c r="T209" s="1">
        <v>1</v>
      </c>
      <c r="U209" s="1">
        <v>0.6</v>
      </c>
      <c r="V209" s="1">
        <v>0.2</v>
      </c>
      <c r="W209" s="1"/>
      <c r="X209" s="1"/>
      <c r="Y209" s="1"/>
      <c r="Z209" s="3">
        <f>_xlfn.IFNA(VLOOKUP(D209,附件!$B$19:$C$21,2,FALSE)+附件!$C$23,0)+S209+J209*((200/(附件!$C$25+100))^0.5)</f>
        <v>0.74</v>
      </c>
      <c r="AA209" s="3">
        <f>G209*H209/Z209*R209/100</f>
        <v>6.7567567567567561</v>
      </c>
      <c r="AB209">
        <f>G209*H209*R209/100</f>
        <v>5</v>
      </c>
      <c r="AC209">
        <f>$AA209*T209</f>
        <v>6.7567567567567561</v>
      </c>
      <c r="AD209">
        <f>$AA209*U209</f>
        <v>4.0540540540540535</v>
      </c>
      <c r="AE209">
        <f>$AA209*V209</f>
        <v>1.3513513513513513</v>
      </c>
    </row>
    <row r="210" spans="1:31" ht="23.25" customHeight="1" x14ac:dyDescent="0.2">
      <c r="A210" s="22" t="s">
        <v>1512</v>
      </c>
      <c r="B210" s="1" t="s">
        <v>1512</v>
      </c>
      <c r="C210" s="1" t="s">
        <v>1476</v>
      </c>
      <c r="D210" s="1" t="s">
        <v>1480</v>
      </c>
      <c r="E210" s="1">
        <v>6</v>
      </c>
      <c r="F210" s="1">
        <v>36</v>
      </c>
      <c r="G210" s="1">
        <v>60</v>
      </c>
      <c r="H210" s="1">
        <v>3</v>
      </c>
      <c r="I210" s="1">
        <v>22.4</v>
      </c>
      <c r="J210" s="1">
        <v>19.71</v>
      </c>
      <c r="K210" s="1">
        <v>80</v>
      </c>
      <c r="L210" s="1">
        <v>0</v>
      </c>
      <c r="M210" s="1">
        <v>12</v>
      </c>
      <c r="N210" s="1">
        <v>0</v>
      </c>
      <c r="O210" s="1" t="s">
        <v>53</v>
      </c>
      <c r="P210" s="1">
        <v>50</v>
      </c>
      <c r="Q210" s="1" t="s">
        <v>64</v>
      </c>
      <c r="R210" s="1">
        <v>105</v>
      </c>
      <c r="S210" s="1">
        <v>0</v>
      </c>
      <c r="T210" s="1">
        <v>0.7</v>
      </c>
      <c r="U210" s="1">
        <v>1</v>
      </c>
      <c r="V210" s="1">
        <v>0.9</v>
      </c>
      <c r="W210" s="1"/>
      <c r="X210" s="1"/>
      <c r="Y210" s="1"/>
      <c r="Z210" s="3">
        <f>_xlfn.IFNA(VLOOKUP(D210,附件!$B$19:$C$21,2,FALSE)+附件!$C$23,0)+S210+J210*((200/(附件!$C$25+100))^0.5)</f>
        <v>19.71</v>
      </c>
      <c r="AA210" s="3">
        <f>G210*H210/Z210*R210/100</f>
        <v>9.589041095890412</v>
      </c>
      <c r="AB210">
        <f>G210*H210*R210/100</f>
        <v>189</v>
      </c>
      <c r="AC210">
        <f>$AA210*T210</f>
        <v>6.7123287671232879</v>
      </c>
      <c r="AD210">
        <f>$AA210*U210</f>
        <v>9.589041095890412</v>
      </c>
      <c r="AE210">
        <f>$AA210*V210</f>
        <v>8.6301369863013715</v>
      </c>
    </row>
    <row r="211" spans="1:31" ht="23.25" customHeight="1" x14ac:dyDescent="0.2">
      <c r="A211" s="22" t="s">
        <v>52</v>
      </c>
      <c r="B211" s="1" t="s">
        <v>52</v>
      </c>
      <c r="C211" s="1" t="s">
        <v>1476</v>
      </c>
      <c r="D211" s="1" t="s">
        <v>1480</v>
      </c>
      <c r="E211" s="1">
        <v>7</v>
      </c>
      <c r="F211" s="1">
        <v>40</v>
      </c>
      <c r="G211" s="1">
        <v>74</v>
      </c>
      <c r="H211" s="1">
        <v>2</v>
      </c>
      <c r="I211" s="1">
        <v>20.62</v>
      </c>
      <c r="J211" s="1">
        <v>17.420000000000002</v>
      </c>
      <c r="K211" s="1">
        <v>80</v>
      </c>
      <c r="L211" s="1">
        <v>0</v>
      </c>
      <c r="M211" s="1">
        <v>12</v>
      </c>
      <c r="N211" s="1">
        <v>0</v>
      </c>
      <c r="O211" s="1" t="s">
        <v>53</v>
      </c>
      <c r="P211" s="1">
        <v>50</v>
      </c>
      <c r="Q211" s="1" t="s">
        <v>64</v>
      </c>
      <c r="R211" s="1">
        <v>110</v>
      </c>
      <c r="S211" s="1">
        <v>0</v>
      </c>
      <c r="T211" s="1">
        <v>0.7</v>
      </c>
      <c r="U211" s="1">
        <v>1</v>
      </c>
      <c r="V211" s="1">
        <v>0.9</v>
      </c>
      <c r="W211" s="1"/>
      <c r="X211" s="1"/>
      <c r="Y211" s="1"/>
      <c r="Z211" s="3">
        <f>_xlfn.IFNA(VLOOKUP(D211,附件!$B$19:$C$21,2,FALSE)+附件!$C$23,0)+S211+J211*((200/(附件!$C$25+100))^0.5)</f>
        <v>17.420000000000002</v>
      </c>
      <c r="AA211" s="3">
        <f>G211*H211/Z211*R211/100</f>
        <v>9.3455797933409865</v>
      </c>
      <c r="AB211">
        <f>G211*H211*R211/100</f>
        <v>162.80000000000001</v>
      </c>
      <c r="AC211">
        <f>$AA211*T211</f>
        <v>6.5419058553386904</v>
      </c>
      <c r="AD211">
        <f>$AA211*U211</f>
        <v>9.3455797933409865</v>
      </c>
      <c r="AE211">
        <f>$AA211*V211</f>
        <v>8.4110218140068884</v>
      </c>
    </row>
    <row r="212" spans="1:31" ht="23.25" customHeight="1" x14ac:dyDescent="0.2">
      <c r="A212" s="22" t="s">
        <v>872</v>
      </c>
      <c r="B212" s="1" t="s">
        <v>872</v>
      </c>
      <c r="C212" s="1" t="s">
        <v>1476</v>
      </c>
      <c r="D212" s="1" t="s">
        <v>1480</v>
      </c>
      <c r="E212" s="1">
        <v>6</v>
      </c>
      <c r="F212" s="1">
        <v>42</v>
      </c>
      <c r="G212" s="1">
        <v>90</v>
      </c>
      <c r="H212" s="1">
        <v>3</v>
      </c>
      <c r="I212" s="1">
        <v>33.19</v>
      </c>
      <c r="J212" s="1">
        <v>29.2</v>
      </c>
      <c r="K212" s="1">
        <v>80</v>
      </c>
      <c r="L212" s="1">
        <v>0</v>
      </c>
      <c r="M212" s="1">
        <v>12</v>
      </c>
      <c r="N212" s="1">
        <v>0</v>
      </c>
      <c r="O212" s="1" t="s">
        <v>53</v>
      </c>
      <c r="P212" s="1">
        <v>50</v>
      </c>
      <c r="Q212" s="1" t="s">
        <v>64</v>
      </c>
      <c r="R212" s="1">
        <v>100</v>
      </c>
      <c r="S212" s="1">
        <v>0</v>
      </c>
      <c r="T212" s="1">
        <v>0.7</v>
      </c>
      <c r="U212" s="1">
        <v>1</v>
      </c>
      <c r="V212" s="1">
        <v>0.9</v>
      </c>
      <c r="W212" s="1"/>
      <c r="X212" s="1"/>
      <c r="Y212" s="1"/>
      <c r="Z212" s="3">
        <f>_xlfn.IFNA(VLOOKUP(D212,附件!$B$19:$C$21,2,FALSE)+附件!$C$23,0)+S212+J212*((200/(附件!$C$25+100))^0.5)</f>
        <v>29.2</v>
      </c>
      <c r="AA212" s="3">
        <f>G212*H212/Z212*R212/100</f>
        <v>9.2465753424657535</v>
      </c>
      <c r="AB212">
        <f>G212*H212*R212/100</f>
        <v>270</v>
      </c>
      <c r="AC212">
        <f>$AA212*T212</f>
        <v>6.4726027397260273</v>
      </c>
      <c r="AD212">
        <f>$AA212*U212</f>
        <v>9.2465753424657535</v>
      </c>
      <c r="AE212">
        <f>$AA212*V212</f>
        <v>8.3219178082191778</v>
      </c>
    </row>
    <row r="213" spans="1:31" ht="23.25" customHeight="1" x14ac:dyDescent="0.2">
      <c r="A213" s="22" t="s">
        <v>60</v>
      </c>
      <c r="B213" s="1" t="s">
        <v>60</v>
      </c>
      <c r="C213" s="1" t="s">
        <v>1478</v>
      </c>
      <c r="D213" s="1" t="s">
        <v>1477</v>
      </c>
      <c r="E213" s="1">
        <v>3</v>
      </c>
      <c r="F213" s="1">
        <v>3</v>
      </c>
      <c r="G213" s="1">
        <v>4</v>
      </c>
      <c r="H213" s="1">
        <v>1</v>
      </c>
      <c r="I213" s="1">
        <v>0.84</v>
      </c>
      <c r="J213" s="1">
        <v>0.78</v>
      </c>
      <c r="K213" s="1">
        <v>40</v>
      </c>
      <c r="L213" s="1">
        <v>5</v>
      </c>
      <c r="M213" s="1">
        <v>0</v>
      </c>
      <c r="N213" s="1">
        <v>0</v>
      </c>
      <c r="O213" s="1" t="s">
        <v>18</v>
      </c>
      <c r="P213" s="1">
        <v>360</v>
      </c>
      <c r="Q213" s="1" t="s">
        <v>64</v>
      </c>
      <c r="R213" s="1">
        <v>125</v>
      </c>
      <c r="S213" s="1">
        <v>0</v>
      </c>
      <c r="T213" s="1">
        <v>1</v>
      </c>
      <c r="U213" s="1">
        <v>0.6</v>
      </c>
      <c r="V213" s="1">
        <v>0.2</v>
      </c>
      <c r="W213" s="1"/>
      <c r="X213" s="1"/>
      <c r="Y213" s="1"/>
      <c r="Z213" s="3">
        <f>_xlfn.IFNA(VLOOKUP(D213,附件!$B$19:$C$21,2,FALSE)+附件!$C$23,0)+S213+J213*((200/(附件!$C$25+100))^0.5)</f>
        <v>0.78</v>
      </c>
      <c r="AA213" s="3">
        <f>G213*H213/Z213*R213/100</f>
        <v>6.4102564102564097</v>
      </c>
      <c r="AB213">
        <f>G213*H213*R213/100</f>
        <v>5</v>
      </c>
      <c r="AC213">
        <f>$AA213*T213</f>
        <v>6.4102564102564097</v>
      </c>
      <c r="AD213">
        <f>$AA213*U213</f>
        <v>3.8461538461538458</v>
      </c>
      <c r="AE213">
        <f>$AA213*V213</f>
        <v>1.2820512820512819</v>
      </c>
    </row>
    <row r="214" spans="1:31" ht="23.25" customHeight="1" x14ac:dyDescent="0.2">
      <c r="A214" s="22" t="s">
        <v>147</v>
      </c>
      <c r="B214" s="1" t="s">
        <v>147</v>
      </c>
      <c r="C214" s="1" t="s">
        <v>1476</v>
      </c>
      <c r="D214" s="1" t="s">
        <v>1480</v>
      </c>
      <c r="E214" s="1">
        <v>6</v>
      </c>
      <c r="F214" s="1">
        <v>37</v>
      </c>
      <c r="G214" s="1">
        <v>69</v>
      </c>
      <c r="H214" s="1">
        <v>4</v>
      </c>
      <c r="I214" s="1">
        <v>34.25</v>
      </c>
      <c r="J214" s="1">
        <v>30.14</v>
      </c>
      <c r="K214" s="1">
        <v>80</v>
      </c>
      <c r="L214" s="1">
        <v>0</v>
      </c>
      <c r="M214" s="1">
        <v>12</v>
      </c>
      <c r="N214" s="1">
        <v>0</v>
      </c>
      <c r="O214" s="1" t="s">
        <v>53</v>
      </c>
      <c r="P214" s="1">
        <v>50</v>
      </c>
      <c r="Q214" s="1" t="s">
        <v>64</v>
      </c>
      <c r="R214" s="1">
        <v>100</v>
      </c>
      <c r="S214" s="1">
        <v>0.15</v>
      </c>
      <c r="T214" s="1">
        <v>0.7</v>
      </c>
      <c r="U214" s="1">
        <v>1</v>
      </c>
      <c r="V214" s="1">
        <v>0.9</v>
      </c>
      <c r="W214" s="1"/>
      <c r="X214" s="1"/>
      <c r="Y214" s="1"/>
      <c r="Z214" s="3">
        <f>_xlfn.IFNA(VLOOKUP(D214,附件!$B$19:$C$21,2,FALSE)+附件!$C$23,0)+S214+J214*((200/(附件!$C$25+100))^0.5)</f>
        <v>30.29</v>
      </c>
      <c r="AA214" s="3">
        <f>G214*H214/Z214*R214/100</f>
        <v>9.1119181247936609</v>
      </c>
      <c r="AB214">
        <f>G214*H214*R214/100</f>
        <v>276</v>
      </c>
      <c r="AC214">
        <f>$AA214*T214</f>
        <v>6.3783426873555626</v>
      </c>
      <c r="AD214">
        <f>$AA214*U214</f>
        <v>9.1119181247936609</v>
      </c>
      <c r="AE214">
        <f>$AA214*V214</f>
        <v>8.2007263123142948</v>
      </c>
    </row>
    <row r="215" spans="1:31" ht="23.25" customHeight="1" x14ac:dyDescent="0.2">
      <c r="A215" s="22" t="s">
        <v>40</v>
      </c>
      <c r="B215" s="1" t="s">
        <v>40</v>
      </c>
      <c r="C215" s="1" t="s">
        <v>1478</v>
      </c>
      <c r="D215" s="1" t="s">
        <v>1485</v>
      </c>
      <c r="E215" s="1">
        <v>3</v>
      </c>
      <c r="F215" s="1">
        <v>6</v>
      </c>
      <c r="G215" s="1">
        <v>9</v>
      </c>
      <c r="H215" s="1">
        <v>3</v>
      </c>
      <c r="I215" s="1">
        <v>5.24</v>
      </c>
      <c r="J215" s="1">
        <v>5.09</v>
      </c>
      <c r="K215" s="1">
        <v>55</v>
      </c>
      <c r="L215" s="1">
        <v>25</v>
      </c>
      <c r="M215" s="1">
        <v>5</v>
      </c>
      <c r="N215" s="1">
        <v>0</v>
      </c>
      <c r="O215" s="1" t="s">
        <v>18</v>
      </c>
      <c r="P215" s="1">
        <v>120</v>
      </c>
      <c r="Q215" s="1" t="s">
        <v>64</v>
      </c>
      <c r="R215" s="1">
        <v>125</v>
      </c>
      <c r="S215" s="1">
        <v>0.3</v>
      </c>
      <c r="T215" s="1">
        <v>1</v>
      </c>
      <c r="U215" s="1">
        <v>0.75</v>
      </c>
      <c r="V215" s="1">
        <v>0.4</v>
      </c>
      <c r="W215" s="1"/>
      <c r="X215" s="1"/>
      <c r="Y215" s="1"/>
      <c r="Z215" s="3">
        <f>_xlfn.IFNA(VLOOKUP(D215,附件!$B$19:$C$21,2,FALSE)+附件!$C$23,0)+S215+J215*((200/(附件!$C$25+100))^0.5)</f>
        <v>5.39</v>
      </c>
      <c r="AA215" s="3">
        <f>G215*H215/Z215*R215/100</f>
        <v>6.2615955473098337</v>
      </c>
      <c r="AB215">
        <f>G215*H215*R215/100</f>
        <v>33.75</v>
      </c>
      <c r="AC215">
        <f>$AA215*T215</f>
        <v>6.2615955473098337</v>
      </c>
      <c r="AD215">
        <f>$AA215*U215</f>
        <v>4.6961966604823751</v>
      </c>
      <c r="AE215">
        <f>$AA215*V215</f>
        <v>2.5046382189239336</v>
      </c>
    </row>
    <row r="216" spans="1:31" ht="23.25" customHeight="1" x14ac:dyDescent="0.2">
      <c r="A216" s="22" t="s">
        <v>114</v>
      </c>
      <c r="B216" s="1" t="s">
        <v>114</v>
      </c>
      <c r="C216" s="1" t="s">
        <v>1481</v>
      </c>
      <c r="D216" s="1" t="s">
        <v>1480</v>
      </c>
      <c r="E216" s="1">
        <v>10</v>
      </c>
      <c r="F216" s="1">
        <v>55</v>
      </c>
      <c r="G216" s="1">
        <v>122</v>
      </c>
      <c r="H216" s="1">
        <v>2</v>
      </c>
      <c r="I216" s="1">
        <v>24.3</v>
      </c>
      <c r="J216" s="1">
        <v>19.36</v>
      </c>
      <c r="K216" s="1">
        <v>80</v>
      </c>
      <c r="L216" s="1">
        <v>0</v>
      </c>
      <c r="M216" s="1">
        <v>25</v>
      </c>
      <c r="N216" s="1">
        <v>0</v>
      </c>
      <c r="O216" s="1" t="s">
        <v>53</v>
      </c>
      <c r="P216" s="1">
        <v>50</v>
      </c>
      <c r="Q216" s="1" t="s">
        <v>27</v>
      </c>
      <c r="R216" s="1">
        <v>110</v>
      </c>
      <c r="S216" s="1">
        <v>0</v>
      </c>
      <c r="T216" s="1">
        <v>0.45</v>
      </c>
      <c r="U216" s="1">
        <v>1.3</v>
      </c>
      <c r="V216" s="1">
        <v>1.1000000000000001</v>
      </c>
      <c r="W216" s="1"/>
      <c r="X216" s="1"/>
      <c r="Y216" s="1"/>
      <c r="Z216" s="3">
        <f>_xlfn.IFNA(VLOOKUP(D216,附件!$B$19:$C$21,2,FALSE)+附件!$C$23,0)+S216+J216*((200/(附件!$C$25+100))^0.5)</f>
        <v>19.36</v>
      </c>
      <c r="AA216" s="3">
        <f>G216*H216/Z216*R216/100</f>
        <v>13.863636363636363</v>
      </c>
      <c r="AB216">
        <f>G216*H216*R216/100</f>
        <v>268.39999999999998</v>
      </c>
      <c r="AC216">
        <f>$AA216*T216</f>
        <v>6.2386363636363633</v>
      </c>
      <c r="AD216">
        <f>$AA216*U216</f>
        <v>18.022727272727273</v>
      </c>
      <c r="AE216">
        <f>$AA216*V216</f>
        <v>15.25</v>
      </c>
    </row>
    <row r="217" spans="1:31" ht="23.25" customHeight="1" x14ac:dyDescent="0.2">
      <c r="A217" s="22" t="s">
        <v>113</v>
      </c>
      <c r="B217" s="1" t="s">
        <v>113</v>
      </c>
      <c r="C217" s="1" t="s">
        <v>1476</v>
      </c>
      <c r="D217" s="1" t="s">
        <v>1480</v>
      </c>
      <c r="E217" s="1">
        <v>6</v>
      </c>
      <c r="F217" s="1">
        <v>48</v>
      </c>
      <c r="G217" s="1">
        <v>86</v>
      </c>
      <c r="H217" s="1">
        <v>2</v>
      </c>
      <c r="I217" s="1">
        <v>25.53</v>
      </c>
      <c r="J217" s="1">
        <v>22.42</v>
      </c>
      <c r="K217" s="1">
        <v>80</v>
      </c>
      <c r="L217" s="1">
        <v>0</v>
      </c>
      <c r="M217" s="1">
        <v>12</v>
      </c>
      <c r="N217" s="1">
        <v>0</v>
      </c>
      <c r="O217" s="1" t="s">
        <v>53</v>
      </c>
      <c r="P217" s="1">
        <v>50</v>
      </c>
      <c r="Q217" s="1" t="s">
        <v>64</v>
      </c>
      <c r="R217" s="1">
        <v>110</v>
      </c>
      <c r="S217" s="1">
        <v>0</v>
      </c>
      <c r="T217" s="1">
        <v>0.7</v>
      </c>
      <c r="U217" s="1">
        <v>1</v>
      </c>
      <c r="V217" s="1">
        <v>0.9</v>
      </c>
      <c r="W217" s="1"/>
      <c r="X217" s="1"/>
      <c r="Y217" s="1"/>
      <c r="Z217" s="3">
        <f>_xlfn.IFNA(VLOOKUP(D217,附件!$B$19:$C$21,2,FALSE)+附件!$C$23,0)+S217+J217*((200/(附件!$C$25+100))^0.5)</f>
        <v>22.42</v>
      </c>
      <c r="AA217" s="3">
        <f>G217*H217/Z217*R217/100</f>
        <v>8.4388938447814432</v>
      </c>
      <c r="AB217">
        <f>G217*H217*R217/100</f>
        <v>189.2</v>
      </c>
      <c r="AC217">
        <f>$AA217*T217</f>
        <v>5.9072256913470103</v>
      </c>
      <c r="AD217">
        <f>$AA217*U217</f>
        <v>8.4388938447814432</v>
      </c>
      <c r="AE217">
        <f>$AA217*V217</f>
        <v>7.5950044603032989</v>
      </c>
    </row>
    <row r="218" spans="1:31" ht="23.25" customHeight="1" x14ac:dyDescent="0.2">
      <c r="A218" s="22" t="s">
        <v>1526</v>
      </c>
      <c r="B218" s="1" t="s">
        <v>1526</v>
      </c>
      <c r="C218" s="1" t="s">
        <v>1476</v>
      </c>
      <c r="D218" s="1" t="s">
        <v>1480</v>
      </c>
      <c r="E218" s="1">
        <v>6</v>
      </c>
      <c r="F218" s="1">
        <v>46</v>
      </c>
      <c r="G218" s="1">
        <v>88</v>
      </c>
      <c r="H218" s="1">
        <v>2</v>
      </c>
      <c r="I218" s="1">
        <v>26.27</v>
      </c>
      <c r="J218" s="1">
        <v>23.28</v>
      </c>
      <c r="K218" s="1">
        <v>80</v>
      </c>
      <c r="L218" s="1">
        <v>0</v>
      </c>
      <c r="M218" s="1">
        <v>12</v>
      </c>
      <c r="N218" s="1">
        <v>0</v>
      </c>
      <c r="O218" s="1" t="s">
        <v>53</v>
      </c>
      <c r="P218" s="1">
        <v>50</v>
      </c>
      <c r="Q218" s="1" t="s">
        <v>64</v>
      </c>
      <c r="R218" s="1">
        <v>110</v>
      </c>
      <c r="S218" s="1">
        <v>0</v>
      </c>
      <c r="T218" s="1">
        <v>0.7</v>
      </c>
      <c r="U218" s="1">
        <v>1</v>
      </c>
      <c r="V218" s="1">
        <v>0.9</v>
      </c>
      <c r="W218" s="1"/>
      <c r="X218" s="1"/>
      <c r="Y218" s="1"/>
      <c r="Z218" s="3">
        <f>_xlfn.IFNA(VLOOKUP(D218,附件!$B$19:$C$21,2,FALSE)+附件!$C$23,0)+S218+J218*((200/(附件!$C$25+100))^0.5)</f>
        <v>23.28</v>
      </c>
      <c r="AA218" s="3">
        <f>G218*H218/Z218*R218/100</f>
        <v>8.3161512027491398</v>
      </c>
      <c r="AB218">
        <f>G218*H218*R218/100</f>
        <v>193.6</v>
      </c>
      <c r="AC218">
        <f>$AA218*T218</f>
        <v>5.8213058419243975</v>
      </c>
      <c r="AD218">
        <f>$AA218*U218</f>
        <v>8.3161512027491398</v>
      </c>
      <c r="AE218">
        <f>$AA218*V218</f>
        <v>7.484536082474226</v>
      </c>
    </row>
    <row r="219" spans="1:31" ht="23.25" customHeight="1" x14ac:dyDescent="0.2">
      <c r="A219" s="22" t="s">
        <v>94</v>
      </c>
      <c r="B219" s="1" t="s">
        <v>94</v>
      </c>
      <c r="C219" s="1" t="s">
        <v>1478</v>
      </c>
      <c r="D219" s="1" t="s">
        <v>1477</v>
      </c>
      <c r="E219" s="1">
        <v>3</v>
      </c>
      <c r="F219" s="1">
        <v>3</v>
      </c>
      <c r="G219" s="1">
        <v>4</v>
      </c>
      <c r="H219" s="1">
        <v>1</v>
      </c>
      <c r="I219" s="1">
        <v>0.94</v>
      </c>
      <c r="J219" s="1">
        <v>0.86</v>
      </c>
      <c r="K219" s="1">
        <v>40</v>
      </c>
      <c r="L219" s="1">
        <v>5</v>
      </c>
      <c r="M219" s="1">
        <v>5</v>
      </c>
      <c r="N219" s="1">
        <v>0</v>
      </c>
      <c r="O219" s="1" t="s">
        <v>18</v>
      </c>
      <c r="P219" s="1">
        <v>360</v>
      </c>
      <c r="Q219" s="1" t="s">
        <v>64</v>
      </c>
      <c r="R219" s="1">
        <v>125</v>
      </c>
      <c r="S219" s="1">
        <v>0</v>
      </c>
      <c r="T219" s="1">
        <v>1</v>
      </c>
      <c r="U219" s="1">
        <v>0.6</v>
      </c>
      <c r="V219" s="1">
        <v>0.2</v>
      </c>
      <c r="W219" s="1"/>
      <c r="X219" s="1"/>
      <c r="Y219" s="1"/>
      <c r="Z219" s="3">
        <f>_xlfn.IFNA(VLOOKUP(D219,附件!$B$19:$C$21,2,FALSE)+附件!$C$23,0)+S219+J219*((200/(附件!$C$25+100))^0.5)</f>
        <v>0.86</v>
      </c>
      <c r="AA219" s="3">
        <f>G219*H219/Z219*R219/100</f>
        <v>5.8139534883720936</v>
      </c>
      <c r="AB219">
        <f>G219*H219*R219/100</f>
        <v>5</v>
      </c>
      <c r="AC219">
        <f>$AA219*T219</f>
        <v>5.8139534883720936</v>
      </c>
      <c r="AD219">
        <f>$AA219*U219</f>
        <v>3.4883720930232562</v>
      </c>
      <c r="AE219">
        <f>$AA219*V219</f>
        <v>1.1627906976744187</v>
      </c>
    </row>
    <row r="220" spans="1:31" ht="23.25" customHeight="1" x14ac:dyDescent="0.2">
      <c r="A220" s="22" t="s">
        <v>149</v>
      </c>
      <c r="B220" s="1" t="s">
        <v>149</v>
      </c>
      <c r="C220" s="1" t="s">
        <v>1476</v>
      </c>
      <c r="D220" s="1" t="s">
        <v>1480</v>
      </c>
      <c r="E220" s="1">
        <v>6</v>
      </c>
      <c r="F220" s="1">
        <v>40</v>
      </c>
      <c r="G220" s="1">
        <v>70</v>
      </c>
      <c r="H220" s="1">
        <v>4</v>
      </c>
      <c r="I220" s="1">
        <v>36.869999999999997</v>
      </c>
      <c r="J220" s="1">
        <v>34.1</v>
      </c>
      <c r="K220" s="1">
        <v>80</v>
      </c>
      <c r="L220" s="1">
        <v>0</v>
      </c>
      <c r="M220" s="1">
        <v>12</v>
      </c>
      <c r="N220" s="1">
        <v>0</v>
      </c>
      <c r="O220" s="1" t="s">
        <v>53</v>
      </c>
      <c r="P220" s="1">
        <v>50</v>
      </c>
      <c r="Q220" s="1" t="s">
        <v>64</v>
      </c>
      <c r="R220" s="1">
        <v>100</v>
      </c>
      <c r="S220" s="1">
        <v>0</v>
      </c>
      <c r="T220" s="1">
        <v>0.7</v>
      </c>
      <c r="U220" s="1">
        <v>1</v>
      </c>
      <c r="V220" s="1">
        <v>0.9</v>
      </c>
      <c r="W220" s="1"/>
      <c r="X220" s="1"/>
      <c r="Y220" s="1"/>
      <c r="Z220" s="3">
        <f>_xlfn.IFNA(VLOOKUP(D220,附件!$B$19:$C$21,2,FALSE)+附件!$C$23,0)+S220+J220*((200/(附件!$C$25+100))^0.5)</f>
        <v>34.1</v>
      </c>
      <c r="AA220" s="3">
        <f>G220*H220/Z220*R220/100</f>
        <v>8.2111436950146626</v>
      </c>
      <c r="AB220">
        <f>G220*H220*R220/100</f>
        <v>280</v>
      </c>
      <c r="AC220">
        <f>$AA220*T220</f>
        <v>5.7478005865102633</v>
      </c>
      <c r="AD220">
        <f>$AA220*U220</f>
        <v>8.2111436950146626</v>
      </c>
      <c r="AE220">
        <f>$AA220*V220</f>
        <v>7.3900293255131961</v>
      </c>
    </row>
    <row r="221" spans="1:31" ht="23.25" customHeight="1" x14ac:dyDescent="0.2">
      <c r="A221" s="22" t="s">
        <v>93</v>
      </c>
      <c r="B221" s="1" t="s">
        <v>93</v>
      </c>
      <c r="C221" s="1" t="s">
        <v>1478</v>
      </c>
      <c r="D221" s="1" t="s">
        <v>1477</v>
      </c>
      <c r="E221" s="1">
        <v>3</v>
      </c>
      <c r="F221" s="1">
        <v>3</v>
      </c>
      <c r="G221" s="1">
        <v>4</v>
      </c>
      <c r="H221" s="1">
        <v>1</v>
      </c>
      <c r="I221" s="1">
        <v>0.97</v>
      </c>
      <c r="J221" s="1">
        <v>0.89</v>
      </c>
      <c r="K221" s="1">
        <v>40</v>
      </c>
      <c r="L221" s="1">
        <v>5</v>
      </c>
      <c r="M221" s="1">
        <v>0</v>
      </c>
      <c r="N221" s="1">
        <v>0</v>
      </c>
      <c r="O221" s="1" t="s">
        <v>18</v>
      </c>
      <c r="P221" s="1">
        <v>360</v>
      </c>
      <c r="Q221" s="1" t="s">
        <v>64</v>
      </c>
      <c r="R221" s="1">
        <v>125</v>
      </c>
      <c r="S221" s="1">
        <v>0</v>
      </c>
      <c r="T221" s="1">
        <v>1</v>
      </c>
      <c r="U221" s="1">
        <v>0.6</v>
      </c>
      <c r="V221" s="1">
        <v>0.2</v>
      </c>
      <c r="W221" s="1"/>
      <c r="X221" s="1"/>
      <c r="Y221" s="21"/>
      <c r="Z221" s="3">
        <f>_xlfn.IFNA(VLOOKUP(D221,附件!$B$19:$C$21,2,FALSE)+附件!$C$23,0)+S221+J221*((200/(附件!$C$25+100))^0.5)</f>
        <v>0.89</v>
      </c>
      <c r="AA221" s="3">
        <f>G221*H221/Z221*R221/100</f>
        <v>5.617977528089888</v>
      </c>
      <c r="AB221">
        <f>G221*H221*R221/100</f>
        <v>5</v>
      </c>
      <c r="AC221">
        <f>$AA221*T221</f>
        <v>5.617977528089888</v>
      </c>
      <c r="AD221">
        <f>$AA221*U221</f>
        <v>3.3707865168539328</v>
      </c>
      <c r="AE221">
        <f>$AA221*V221</f>
        <v>1.1235955056179776</v>
      </c>
    </row>
    <row r="222" spans="1:31" ht="23.25" customHeight="1" x14ac:dyDescent="0.2">
      <c r="A222" s="22" t="s">
        <v>97</v>
      </c>
      <c r="B222" s="1" t="s">
        <v>97</v>
      </c>
      <c r="C222" s="1" t="s">
        <v>1478</v>
      </c>
      <c r="D222" s="1" t="s">
        <v>1477</v>
      </c>
      <c r="E222" s="1">
        <v>3</v>
      </c>
      <c r="F222" s="1">
        <v>4</v>
      </c>
      <c r="G222" s="1">
        <v>6</v>
      </c>
      <c r="H222" s="1">
        <v>1</v>
      </c>
      <c r="I222" s="1">
        <v>1.3</v>
      </c>
      <c r="J222" s="1">
        <v>1.22</v>
      </c>
      <c r="K222" s="1">
        <v>50</v>
      </c>
      <c r="L222" s="1">
        <v>5</v>
      </c>
      <c r="M222" s="1">
        <v>5</v>
      </c>
      <c r="N222" s="1">
        <v>0</v>
      </c>
      <c r="O222" s="1" t="s">
        <v>18</v>
      </c>
      <c r="P222" s="1">
        <v>360</v>
      </c>
      <c r="Q222" s="1" t="s">
        <v>27</v>
      </c>
      <c r="R222" s="1">
        <v>125</v>
      </c>
      <c r="S222" s="1">
        <v>0</v>
      </c>
      <c r="T222" s="1">
        <v>0.9</v>
      </c>
      <c r="U222" s="1">
        <v>0.7</v>
      </c>
      <c r="V222" s="1">
        <v>0.4</v>
      </c>
      <c r="W222" s="1"/>
      <c r="X222" s="1"/>
      <c r="Y222" s="1"/>
      <c r="Z222" s="3">
        <f>_xlfn.IFNA(VLOOKUP(D222,附件!$B$19:$C$21,2,FALSE)+附件!$C$23,0)+S222+J222*((200/(附件!$C$25+100))^0.5)</f>
        <v>1.22</v>
      </c>
      <c r="AA222" s="3">
        <f>G222*H222/Z222*R222/100</f>
        <v>6.1475409836065582</v>
      </c>
      <c r="AB222">
        <f>G222*H222*R222/100</f>
        <v>7.5</v>
      </c>
      <c r="AC222">
        <f>$AA222*T222</f>
        <v>5.5327868852459021</v>
      </c>
      <c r="AD222">
        <f>$AA222*U222</f>
        <v>4.3032786885245908</v>
      </c>
      <c r="AE222">
        <f>$AA222*V222</f>
        <v>2.4590163934426235</v>
      </c>
    </row>
    <row r="223" spans="1:31" ht="23.25" customHeight="1" x14ac:dyDescent="0.2">
      <c r="A223" s="22" t="s">
        <v>105</v>
      </c>
      <c r="B223" s="1" t="s">
        <v>105</v>
      </c>
      <c r="C223" s="1" t="s">
        <v>1478</v>
      </c>
      <c r="D223" s="1" t="s">
        <v>1485</v>
      </c>
      <c r="E223" s="1">
        <v>3</v>
      </c>
      <c r="F223" s="1">
        <v>7</v>
      </c>
      <c r="G223" s="1">
        <v>10</v>
      </c>
      <c r="H223" s="1">
        <v>1</v>
      </c>
      <c r="I223" s="1">
        <v>2.19</v>
      </c>
      <c r="J223" s="1">
        <v>2</v>
      </c>
      <c r="K223" s="1">
        <v>55</v>
      </c>
      <c r="L223" s="1">
        <v>5</v>
      </c>
      <c r="M223" s="1">
        <v>5</v>
      </c>
      <c r="N223" s="1">
        <v>0</v>
      </c>
      <c r="O223" s="1" t="s">
        <v>18</v>
      </c>
      <c r="P223" s="1">
        <v>120</v>
      </c>
      <c r="Q223" s="1" t="s">
        <v>27</v>
      </c>
      <c r="R223" s="1">
        <v>110</v>
      </c>
      <c r="S223" s="1">
        <v>0</v>
      </c>
      <c r="T223" s="1">
        <v>1</v>
      </c>
      <c r="U223" s="1">
        <v>0.8</v>
      </c>
      <c r="V223" s="1">
        <v>0.6</v>
      </c>
      <c r="W223" s="1"/>
      <c r="X223" s="1"/>
      <c r="Y223" s="1"/>
      <c r="Z223" s="3">
        <f>_xlfn.IFNA(VLOOKUP(D223,附件!$B$19:$C$21,2,FALSE)+附件!$C$23,0)+S223+J223*((200/(附件!$C$25+100))^0.5)</f>
        <v>2</v>
      </c>
      <c r="AA223" s="3">
        <f>G223*H223/Z223*R223/100</f>
        <v>5.5</v>
      </c>
      <c r="AB223">
        <f>G223*H223*R223/100</f>
        <v>11</v>
      </c>
      <c r="AC223">
        <f>$AA223*T223</f>
        <v>5.5</v>
      </c>
      <c r="AD223">
        <f>$AA223*U223</f>
        <v>4.4000000000000004</v>
      </c>
      <c r="AE223">
        <f>$AA223*V223</f>
        <v>3.3</v>
      </c>
    </row>
    <row r="224" spans="1:31" ht="23.25" customHeight="1" x14ac:dyDescent="0.2">
      <c r="A224" s="22" t="s">
        <v>39</v>
      </c>
      <c r="B224" s="1" t="s">
        <v>39</v>
      </c>
      <c r="C224" s="1" t="s">
        <v>1478</v>
      </c>
      <c r="D224" s="1" t="s">
        <v>1485</v>
      </c>
      <c r="E224" s="1">
        <v>3</v>
      </c>
      <c r="F224" s="1">
        <v>5</v>
      </c>
      <c r="G224" s="1">
        <v>8</v>
      </c>
      <c r="H224" s="1">
        <v>3</v>
      </c>
      <c r="I224" s="1">
        <v>5.53</v>
      </c>
      <c r="J224" s="1">
        <v>5.37</v>
      </c>
      <c r="K224" s="1">
        <v>55</v>
      </c>
      <c r="L224" s="1">
        <v>25</v>
      </c>
      <c r="M224" s="1">
        <v>0</v>
      </c>
      <c r="N224" s="1">
        <v>0</v>
      </c>
      <c r="O224" s="1" t="s">
        <v>18</v>
      </c>
      <c r="P224" s="1">
        <v>120</v>
      </c>
      <c r="Q224" s="1" t="s">
        <v>64</v>
      </c>
      <c r="R224" s="1">
        <v>125</v>
      </c>
      <c r="S224" s="1">
        <v>0.3</v>
      </c>
      <c r="T224" s="1">
        <v>1</v>
      </c>
      <c r="U224" s="1">
        <v>0.75</v>
      </c>
      <c r="V224" s="1">
        <v>0.4</v>
      </c>
      <c r="W224" s="1"/>
      <c r="X224" s="1"/>
      <c r="Y224" s="1"/>
      <c r="Z224" s="3">
        <f>_xlfn.IFNA(VLOOKUP(D224,附件!$B$19:$C$21,2,FALSE)+附件!$C$23,0)+S224+J224*((200/(附件!$C$25+100))^0.5)</f>
        <v>5.67</v>
      </c>
      <c r="AA224" s="3">
        <f>G224*H224/Z224*R224/100</f>
        <v>5.2910052910052912</v>
      </c>
      <c r="AB224">
        <f>G224*H224*R224/100</f>
        <v>30</v>
      </c>
      <c r="AC224">
        <f>$AA224*T224</f>
        <v>5.2910052910052912</v>
      </c>
      <c r="AD224">
        <f>$AA224*U224</f>
        <v>3.9682539682539684</v>
      </c>
      <c r="AE224">
        <f>$AA224*V224</f>
        <v>2.1164021164021167</v>
      </c>
    </row>
    <row r="225" spans="1:31" ht="23.25" customHeight="1" x14ac:dyDescent="0.2">
      <c r="A225" s="22" t="s">
        <v>96</v>
      </c>
      <c r="B225" s="1" t="s">
        <v>96</v>
      </c>
      <c r="C225" s="1" t="s">
        <v>1478</v>
      </c>
      <c r="D225" s="1" t="s">
        <v>1477</v>
      </c>
      <c r="E225" s="1">
        <v>3</v>
      </c>
      <c r="F225" s="1">
        <v>4</v>
      </c>
      <c r="G225" s="1">
        <v>6</v>
      </c>
      <c r="H225" s="1">
        <v>1</v>
      </c>
      <c r="I225" s="1">
        <v>1.37</v>
      </c>
      <c r="J225" s="1">
        <v>1.28</v>
      </c>
      <c r="K225" s="1">
        <v>50</v>
      </c>
      <c r="L225" s="1">
        <v>5</v>
      </c>
      <c r="M225" s="1">
        <v>0</v>
      </c>
      <c r="N225" s="1">
        <v>0</v>
      </c>
      <c r="O225" s="1" t="s">
        <v>18</v>
      </c>
      <c r="P225" s="1">
        <v>360</v>
      </c>
      <c r="Q225" s="1" t="s">
        <v>27</v>
      </c>
      <c r="R225" s="1">
        <v>125</v>
      </c>
      <c r="S225" s="1">
        <v>0</v>
      </c>
      <c r="T225" s="1">
        <v>0.9</v>
      </c>
      <c r="U225" s="1">
        <v>0.7</v>
      </c>
      <c r="V225" s="1">
        <v>0.4</v>
      </c>
      <c r="W225" s="1"/>
      <c r="X225" s="1"/>
      <c r="Y225" s="1"/>
      <c r="Z225" s="3">
        <f>_xlfn.IFNA(VLOOKUP(D225,附件!$B$19:$C$21,2,FALSE)+附件!$C$23,0)+S225+J225*((200/(附件!$C$25+100))^0.5)</f>
        <v>1.28</v>
      </c>
      <c r="AA225" s="3">
        <f>G225*H225/Z225*R225/100</f>
        <v>5.859375</v>
      </c>
      <c r="AB225">
        <f>G225*H225*R225/100</f>
        <v>7.5</v>
      </c>
      <c r="AC225">
        <f>$AA225*T225</f>
        <v>5.2734375</v>
      </c>
      <c r="AD225">
        <f>$AA225*U225</f>
        <v>4.1015625</v>
      </c>
      <c r="AE225">
        <f>$AA225*V225</f>
        <v>2.34375</v>
      </c>
    </row>
    <row r="226" spans="1:31" ht="23.25" customHeight="1" x14ac:dyDescent="0.2">
      <c r="A226" s="22" t="s">
        <v>1556</v>
      </c>
      <c r="B226" s="1" t="s">
        <v>1556</v>
      </c>
      <c r="C226" s="1" t="s">
        <v>1478</v>
      </c>
      <c r="D226" s="1" t="s">
        <v>1480</v>
      </c>
      <c r="E226" s="1">
        <v>3</v>
      </c>
      <c r="F226" s="1">
        <v>50</v>
      </c>
      <c r="G226" s="1">
        <v>74</v>
      </c>
      <c r="H226" s="1">
        <v>3</v>
      </c>
      <c r="I226" s="1">
        <v>33.19</v>
      </c>
      <c r="J226" s="1">
        <v>31.19</v>
      </c>
      <c r="K226" s="1">
        <v>80</v>
      </c>
      <c r="L226" s="1">
        <v>0</v>
      </c>
      <c r="M226" s="1">
        <v>5</v>
      </c>
      <c r="N226" s="1">
        <v>0</v>
      </c>
      <c r="O226" s="1" t="s">
        <v>53</v>
      </c>
      <c r="P226" s="1">
        <v>50</v>
      </c>
      <c r="Q226" s="1" t="s">
        <v>64</v>
      </c>
      <c r="R226" s="1">
        <v>105</v>
      </c>
      <c r="S226" s="1">
        <v>0</v>
      </c>
      <c r="T226" s="1">
        <v>0.7</v>
      </c>
      <c r="U226" s="1">
        <v>1</v>
      </c>
      <c r="V226" s="1">
        <v>0.9</v>
      </c>
      <c r="W226" s="1"/>
      <c r="X226" s="1"/>
      <c r="Y226" s="1"/>
      <c r="Z226" s="3">
        <f>_xlfn.IFNA(VLOOKUP(D226,附件!$B$19:$C$21,2,FALSE)+附件!$C$23,0)+S226+J226*((200/(附件!$C$25+100))^0.5)</f>
        <v>31.19</v>
      </c>
      <c r="AA226" s="3">
        <f>G226*H226/Z226*R226/100</f>
        <v>7.4735492144918236</v>
      </c>
      <c r="AB226">
        <f>G226*H226*R226/100</f>
        <v>233.1</v>
      </c>
      <c r="AC226">
        <f>$AA226*T226</f>
        <v>5.2314844501442765</v>
      </c>
      <c r="AD226">
        <f>$AA226*U226</f>
        <v>7.4735492144918236</v>
      </c>
      <c r="AE226">
        <f>$AA226*V226</f>
        <v>6.7261942930426413</v>
      </c>
    </row>
    <row r="227" spans="1:31" ht="23.25" customHeight="1" x14ac:dyDescent="0.2">
      <c r="A227" s="22" t="s">
        <v>117</v>
      </c>
      <c r="B227" s="1" t="s">
        <v>117</v>
      </c>
      <c r="C227" s="1" t="s">
        <v>1478</v>
      </c>
      <c r="D227" s="1" t="s">
        <v>1477</v>
      </c>
      <c r="E227" s="1">
        <v>3</v>
      </c>
      <c r="F227" s="1">
        <v>3</v>
      </c>
      <c r="G227" s="1">
        <v>4</v>
      </c>
      <c r="H227" s="1">
        <v>2</v>
      </c>
      <c r="I227" s="1">
        <v>1.78</v>
      </c>
      <c r="J227" s="1">
        <v>1.7</v>
      </c>
      <c r="K227" s="1">
        <v>50</v>
      </c>
      <c r="L227" s="1">
        <v>15</v>
      </c>
      <c r="M227" s="1">
        <v>5</v>
      </c>
      <c r="N227" s="1">
        <v>0</v>
      </c>
      <c r="O227" s="1" t="s">
        <v>18</v>
      </c>
      <c r="P227" s="1">
        <v>120</v>
      </c>
      <c r="Q227" s="1" t="s">
        <v>64</v>
      </c>
      <c r="R227" s="1">
        <v>110</v>
      </c>
      <c r="S227" s="1">
        <v>0.15</v>
      </c>
      <c r="T227" s="1">
        <v>1</v>
      </c>
      <c r="U227" s="1">
        <v>0.5</v>
      </c>
      <c r="V227" s="1">
        <v>0.2</v>
      </c>
      <c r="W227" s="1"/>
      <c r="X227" s="1"/>
      <c r="Y227" s="1"/>
      <c r="Z227" s="3">
        <f>_xlfn.IFNA(VLOOKUP(D227,附件!$B$19:$C$21,2,FALSE)+附件!$C$23,0)+S227+J227*((200/(附件!$C$25+100))^0.5)</f>
        <v>1.8499999999999999</v>
      </c>
      <c r="AA227" s="3">
        <f>G227*H227/Z227*R227/100</f>
        <v>4.756756756756757</v>
      </c>
      <c r="AB227">
        <f>G227*H227*R227/100</f>
        <v>8.8000000000000007</v>
      </c>
      <c r="AC227">
        <f>$AA227*T227</f>
        <v>4.756756756756757</v>
      </c>
      <c r="AD227">
        <f>$AA227*U227</f>
        <v>2.3783783783783785</v>
      </c>
      <c r="AE227">
        <f>$AA227*V227</f>
        <v>0.9513513513513514</v>
      </c>
    </row>
    <row r="228" spans="1:31" ht="23.25" customHeight="1" x14ac:dyDescent="0.2">
      <c r="A228" s="22" t="s">
        <v>90</v>
      </c>
      <c r="B228" s="1" t="s">
        <v>90</v>
      </c>
      <c r="C228" s="1" t="s">
        <v>1478</v>
      </c>
      <c r="D228" s="1" t="s">
        <v>1485</v>
      </c>
      <c r="E228" s="1">
        <v>3</v>
      </c>
      <c r="F228" s="1">
        <v>7</v>
      </c>
      <c r="G228" s="1">
        <v>10</v>
      </c>
      <c r="H228" s="1">
        <v>3</v>
      </c>
      <c r="I228" s="1">
        <v>6.58</v>
      </c>
      <c r="J228" s="1">
        <v>6.38</v>
      </c>
      <c r="K228" s="1">
        <v>55</v>
      </c>
      <c r="L228" s="1">
        <v>25</v>
      </c>
      <c r="M228" s="1">
        <v>5</v>
      </c>
      <c r="N228" s="1">
        <v>0</v>
      </c>
      <c r="O228" s="1" t="s">
        <v>18</v>
      </c>
      <c r="P228" s="1">
        <v>120</v>
      </c>
      <c r="Q228" s="1" t="s">
        <v>27</v>
      </c>
      <c r="R228" s="1">
        <v>105</v>
      </c>
      <c r="S228" s="1">
        <v>0.3</v>
      </c>
      <c r="T228" s="1">
        <v>1</v>
      </c>
      <c r="U228" s="1">
        <v>0.8</v>
      </c>
      <c r="V228" s="1">
        <v>0.6</v>
      </c>
      <c r="W228" s="1"/>
      <c r="X228" s="1"/>
      <c r="Y228" s="1"/>
      <c r="Z228" s="3">
        <f>_xlfn.IFNA(VLOOKUP(D228,附件!$B$19:$C$21,2,FALSE)+附件!$C$23,0)+S228+J228*((200/(附件!$C$25+100))^0.5)</f>
        <v>6.68</v>
      </c>
      <c r="AA228" s="3">
        <f>G228*H228/Z228*R228/100</f>
        <v>4.7155688622754495</v>
      </c>
      <c r="AB228">
        <f>G228*H228*R228/100</f>
        <v>31.5</v>
      </c>
      <c r="AC228">
        <f>$AA228*T228</f>
        <v>4.7155688622754495</v>
      </c>
      <c r="AD228">
        <f>$AA228*U228</f>
        <v>3.7724550898203599</v>
      </c>
      <c r="AE228">
        <f>$AA228*V228</f>
        <v>2.8293413173652695</v>
      </c>
    </row>
    <row r="229" spans="1:31" ht="23.25" customHeight="1" x14ac:dyDescent="0.2">
      <c r="A229" s="22" t="s">
        <v>863</v>
      </c>
      <c r="B229" s="1" t="s">
        <v>863</v>
      </c>
      <c r="C229" s="1" t="s">
        <v>1476</v>
      </c>
      <c r="D229" s="1" t="s">
        <v>1480</v>
      </c>
      <c r="E229" s="1">
        <v>7</v>
      </c>
      <c r="F229" s="1">
        <v>34</v>
      </c>
      <c r="G229" s="1">
        <v>80</v>
      </c>
      <c r="H229" s="1">
        <v>3</v>
      </c>
      <c r="I229" s="1">
        <v>27.27</v>
      </c>
      <c r="J229" s="1">
        <v>24.08</v>
      </c>
      <c r="K229" s="1">
        <v>80</v>
      </c>
      <c r="L229" s="1">
        <v>0</v>
      </c>
      <c r="M229" s="1">
        <v>12</v>
      </c>
      <c r="N229" s="1">
        <v>0</v>
      </c>
      <c r="O229" s="1" t="s">
        <v>53</v>
      </c>
      <c r="P229" s="1">
        <v>50</v>
      </c>
      <c r="Q229" s="1" t="s">
        <v>27</v>
      </c>
      <c r="R229" s="1">
        <v>105</v>
      </c>
      <c r="S229" s="1">
        <v>0</v>
      </c>
      <c r="T229" s="1">
        <v>0.45</v>
      </c>
      <c r="U229" s="1">
        <v>1.3</v>
      </c>
      <c r="V229" s="1">
        <v>1.1000000000000001</v>
      </c>
      <c r="W229" s="1"/>
      <c r="X229" s="1"/>
      <c r="Y229" s="1"/>
      <c r="Z229" s="3">
        <f>_xlfn.IFNA(VLOOKUP(D229,附件!$B$19:$C$21,2,FALSE)+附件!$C$23,0)+S229+J229*((200/(附件!$C$25+100))^0.5)</f>
        <v>24.08</v>
      </c>
      <c r="AA229" s="3">
        <f>G229*H229/Z229*R229/100</f>
        <v>10.465116279069768</v>
      </c>
      <c r="AB229">
        <f>G229*H229*R229/100</f>
        <v>252</v>
      </c>
      <c r="AC229">
        <f>$AA229*T229</f>
        <v>4.7093023255813957</v>
      </c>
      <c r="AD229">
        <f>$AA229*U229</f>
        <v>13.604651162790699</v>
      </c>
      <c r="AE229">
        <f>$AA229*V229</f>
        <v>11.511627906976747</v>
      </c>
    </row>
    <row r="230" spans="1:31" ht="23.25" customHeight="1" x14ac:dyDescent="0.2">
      <c r="A230" s="22" t="s">
        <v>1535</v>
      </c>
      <c r="B230" s="1" t="s">
        <v>1535</v>
      </c>
      <c r="C230" s="1" t="s">
        <v>1476</v>
      </c>
      <c r="D230" s="1" t="s">
        <v>1480</v>
      </c>
      <c r="E230" s="1">
        <v>7</v>
      </c>
      <c r="F230" s="1">
        <v>53</v>
      </c>
      <c r="G230" s="1">
        <v>106</v>
      </c>
      <c r="H230" s="1">
        <v>2</v>
      </c>
      <c r="I230" s="1">
        <v>25.27</v>
      </c>
      <c r="J230" s="1">
        <v>22.88</v>
      </c>
      <c r="K230" s="1">
        <v>80</v>
      </c>
      <c r="L230" s="1">
        <v>0</v>
      </c>
      <c r="M230" s="1">
        <v>12</v>
      </c>
      <c r="N230" s="1">
        <v>0</v>
      </c>
      <c r="O230" s="1" t="s">
        <v>53</v>
      </c>
      <c r="P230" s="1">
        <v>50</v>
      </c>
      <c r="Q230" s="1" t="s">
        <v>27</v>
      </c>
      <c r="R230" s="1">
        <v>110</v>
      </c>
      <c r="S230" s="1">
        <v>0</v>
      </c>
      <c r="T230" s="1">
        <v>0.45</v>
      </c>
      <c r="U230" s="1">
        <v>1.3</v>
      </c>
      <c r="V230" s="1">
        <v>1.1000000000000001</v>
      </c>
      <c r="W230" s="1"/>
      <c r="X230" s="1"/>
      <c r="Y230" s="1"/>
      <c r="Z230" s="3">
        <f>_xlfn.IFNA(VLOOKUP(D230,附件!$B$19:$C$21,2,FALSE)+附件!$C$23,0)+S230+J230*((200/(附件!$C$25+100))^0.5)</f>
        <v>22.88</v>
      </c>
      <c r="AA230" s="3">
        <f>G230*H230/Z230*R230/100</f>
        <v>10.192307692307693</v>
      </c>
      <c r="AB230">
        <f>G230*H230*R230/100</f>
        <v>233.2</v>
      </c>
      <c r="AC230">
        <f>$AA230*T230</f>
        <v>4.5865384615384626</v>
      </c>
      <c r="AD230">
        <f>$AA230*U230</f>
        <v>13.250000000000002</v>
      </c>
      <c r="AE230">
        <f>$AA230*V230</f>
        <v>11.211538461538463</v>
      </c>
    </row>
    <row r="231" spans="1:31" ht="23.25" customHeight="1" x14ac:dyDescent="0.2">
      <c r="A231" s="22" t="s">
        <v>1486</v>
      </c>
      <c r="B231" s="1" t="s">
        <v>1486</v>
      </c>
      <c r="C231" s="1" t="s">
        <v>1476</v>
      </c>
      <c r="D231" s="1" t="s">
        <v>1480</v>
      </c>
      <c r="E231" s="1">
        <v>6</v>
      </c>
      <c r="F231" s="1">
        <v>53</v>
      </c>
      <c r="G231" s="1">
        <v>106</v>
      </c>
      <c r="H231" s="1">
        <v>2</v>
      </c>
      <c r="I231" s="1">
        <v>25.41</v>
      </c>
      <c r="J231" s="1">
        <v>23.01</v>
      </c>
      <c r="K231" s="1">
        <v>80</v>
      </c>
      <c r="L231" s="1">
        <v>0</v>
      </c>
      <c r="M231" s="1">
        <v>12</v>
      </c>
      <c r="N231" s="1">
        <v>0</v>
      </c>
      <c r="O231" s="1" t="s">
        <v>53</v>
      </c>
      <c r="P231" s="1">
        <v>50</v>
      </c>
      <c r="Q231" s="1" t="s">
        <v>27</v>
      </c>
      <c r="R231" s="1">
        <v>110</v>
      </c>
      <c r="S231" s="1">
        <v>0</v>
      </c>
      <c r="T231" s="1">
        <v>0.45</v>
      </c>
      <c r="U231" s="1">
        <v>1.3</v>
      </c>
      <c r="V231" s="1">
        <v>1.1000000000000001</v>
      </c>
      <c r="W231" s="1"/>
      <c r="X231" s="1"/>
      <c r="Y231" s="1"/>
      <c r="Z231" s="3">
        <f>_xlfn.IFNA(VLOOKUP(D231,附件!$B$19:$C$21,2,FALSE)+附件!$C$23,0)+S231+J231*((200/(附件!$C$25+100))^0.5)</f>
        <v>23.01</v>
      </c>
      <c r="AA231" s="3">
        <f>G231*H231/Z231*R231/100</f>
        <v>10.134724033029118</v>
      </c>
      <c r="AB231">
        <f>G231*H231*R231/100</f>
        <v>233.2</v>
      </c>
      <c r="AC231">
        <f>$AA231*T231</f>
        <v>4.5606258148631031</v>
      </c>
      <c r="AD231">
        <f>$AA231*U231</f>
        <v>13.175141242937853</v>
      </c>
      <c r="AE231">
        <f>$AA231*V231</f>
        <v>11.148196436332031</v>
      </c>
    </row>
    <row r="232" spans="1:31" ht="23.25" customHeight="1" x14ac:dyDescent="0.2">
      <c r="A232" s="22" t="s">
        <v>116</v>
      </c>
      <c r="B232" s="1" t="s">
        <v>116</v>
      </c>
      <c r="C232" s="1" t="s">
        <v>1478</v>
      </c>
      <c r="D232" s="1" t="s">
        <v>1477</v>
      </c>
      <c r="E232" s="1">
        <v>3</v>
      </c>
      <c r="F232" s="1">
        <v>3</v>
      </c>
      <c r="G232" s="1">
        <v>4</v>
      </c>
      <c r="H232" s="1">
        <v>2</v>
      </c>
      <c r="I232" s="1">
        <v>1.86</v>
      </c>
      <c r="J232" s="1">
        <v>1.78</v>
      </c>
      <c r="K232" s="1">
        <v>50</v>
      </c>
      <c r="L232" s="1">
        <v>15</v>
      </c>
      <c r="M232" s="1">
        <v>0</v>
      </c>
      <c r="N232" s="1">
        <v>0</v>
      </c>
      <c r="O232" s="1" t="s">
        <v>18</v>
      </c>
      <c r="P232" s="1">
        <v>120</v>
      </c>
      <c r="Q232" s="1" t="s">
        <v>64</v>
      </c>
      <c r="R232" s="1">
        <v>110</v>
      </c>
      <c r="S232" s="1">
        <v>0.15</v>
      </c>
      <c r="T232" s="1">
        <v>1</v>
      </c>
      <c r="U232" s="1">
        <v>0.5</v>
      </c>
      <c r="V232" s="1">
        <v>0.2</v>
      </c>
      <c r="W232" s="1"/>
      <c r="X232" s="1"/>
      <c r="Y232" s="1"/>
      <c r="Z232" s="3">
        <f>_xlfn.IFNA(VLOOKUP(D232,附件!$B$19:$C$21,2,FALSE)+附件!$C$23,0)+S232+J232*((200/(附件!$C$25+100))^0.5)</f>
        <v>1.93</v>
      </c>
      <c r="AA232" s="3">
        <f>G232*H232/Z232*R232/100</f>
        <v>4.5595854922279795</v>
      </c>
      <c r="AB232">
        <f>G232*H232*R232/100</f>
        <v>8.8000000000000007</v>
      </c>
      <c r="AC232">
        <f>$AA232*T232</f>
        <v>4.5595854922279795</v>
      </c>
      <c r="AD232">
        <f>$AA232*U232</f>
        <v>2.2797927461139897</v>
      </c>
      <c r="AE232">
        <f>$AA232*V232</f>
        <v>0.91191709844559599</v>
      </c>
    </row>
    <row r="233" spans="1:31" ht="23.25" customHeight="1" x14ac:dyDescent="0.2">
      <c r="A233" s="22" t="s">
        <v>1537</v>
      </c>
      <c r="B233" s="1" t="s">
        <v>1537</v>
      </c>
      <c r="C233" s="1" t="s">
        <v>1478</v>
      </c>
      <c r="D233" s="1" t="s">
        <v>1480</v>
      </c>
      <c r="E233" s="1">
        <v>3</v>
      </c>
      <c r="F233" s="1">
        <v>48</v>
      </c>
      <c r="G233" s="1">
        <v>72</v>
      </c>
      <c r="H233" s="1">
        <v>2</v>
      </c>
      <c r="I233" s="1">
        <v>25.94</v>
      </c>
      <c r="J233" s="1">
        <v>24.74</v>
      </c>
      <c r="K233" s="1">
        <v>80</v>
      </c>
      <c r="L233" s="1">
        <v>0</v>
      </c>
      <c r="M233" s="1">
        <v>5</v>
      </c>
      <c r="N233" s="1">
        <v>0</v>
      </c>
      <c r="O233" s="1" t="s">
        <v>53</v>
      </c>
      <c r="P233" s="1">
        <v>50</v>
      </c>
      <c r="Q233" s="1" t="s">
        <v>64</v>
      </c>
      <c r="R233" s="1">
        <v>110</v>
      </c>
      <c r="S233" s="1">
        <v>0</v>
      </c>
      <c r="T233" s="1">
        <v>0.7</v>
      </c>
      <c r="U233" s="1">
        <v>1</v>
      </c>
      <c r="V233" s="1">
        <v>0.9</v>
      </c>
      <c r="W233" s="1"/>
      <c r="X233" s="1"/>
      <c r="Y233" s="1"/>
      <c r="Z233" s="3">
        <f>_xlfn.IFNA(VLOOKUP(D233,附件!$B$19:$C$21,2,FALSE)+附件!$C$23,0)+S233+J233*((200/(附件!$C$25+100))^0.5)</f>
        <v>24.74</v>
      </c>
      <c r="AA233" s="3">
        <f>G233*H233/Z233*R233/100</f>
        <v>6.4025869037995156</v>
      </c>
      <c r="AB233">
        <f>G233*H233*R233/100</f>
        <v>158.4</v>
      </c>
      <c r="AC233">
        <f>$AA233*T233</f>
        <v>4.4818108326596606</v>
      </c>
      <c r="AD233">
        <f>$AA233*U233</f>
        <v>6.4025869037995156</v>
      </c>
      <c r="AE233">
        <f>$AA233*V233</f>
        <v>5.7623282134195639</v>
      </c>
    </row>
    <row r="234" spans="1:31" ht="23.25" customHeight="1" x14ac:dyDescent="0.2">
      <c r="A234" s="22" t="s">
        <v>68</v>
      </c>
      <c r="B234" s="1" t="s">
        <v>68</v>
      </c>
      <c r="C234" s="1" t="s">
        <v>1478</v>
      </c>
      <c r="D234" s="1" t="s">
        <v>1480</v>
      </c>
      <c r="E234" s="1">
        <v>3</v>
      </c>
      <c r="F234" s="1">
        <v>34</v>
      </c>
      <c r="G234" s="1">
        <v>46</v>
      </c>
      <c r="H234" s="1">
        <v>3</v>
      </c>
      <c r="I234" s="1">
        <v>24.61</v>
      </c>
      <c r="J234" s="1">
        <v>22.81</v>
      </c>
      <c r="K234" s="1">
        <v>80</v>
      </c>
      <c r="L234" s="1">
        <v>0</v>
      </c>
      <c r="M234" s="1">
        <v>5</v>
      </c>
      <c r="N234" s="1">
        <v>0</v>
      </c>
      <c r="O234" s="1" t="s">
        <v>53</v>
      </c>
      <c r="P234" s="1">
        <v>50</v>
      </c>
      <c r="Q234" s="1" t="s">
        <v>64</v>
      </c>
      <c r="R234" s="1">
        <v>105</v>
      </c>
      <c r="S234" s="1">
        <v>0</v>
      </c>
      <c r="T234" s="1">
        <v>0.7</v>
      </c>
      <c r="U234" s="1">
        <v>1</v>
      </c>
      <c r="V234" s="1">
        <v>0.9</v>
      </c>
      <c r="W234" s="1"/>
      <c r="X234" s="1"/>
      <c r="Y234" s="1"/>
      <c r="Z234" s="3">
        <f>_xlfn.IFNA(VLOOKUP(D234,附件!$B$19:$C$21,2,FALSE)+附件!$C$23,0)+S234+J234*((200/(附件!$C$25+100))^0.5)</f>
        <v>22.81</v>
      </c>
      <c r="AA234" s="3">
        <f>G234*H234/Z234*R234/100</f>
        <v>6.3524769837790451</v>
      </c>
      <c r="AB234">
        <f>G234*H234*R234/100</f>
        <v>144.9</v>
      </c>
      <c r="AC234">
        <f>$AA234*T234</f>
        <v>4.4467338886453316</v>
      </c>
      <c r="AD234">
        <f>$AA234*U234</f>
        <v>6.3524769837790451</v>
      </c>
      <c r="AE234">
        <f>$AA234*V234</f>
        <v>5.7172292854011406</v>
      </c>
    </row>
    <row r="235" spans="1:31" ht="23.25" customHeight="1" x14ac:dyDescent="0.2">
      <c r="A235" s="22" t="s">
        <v>1524</v>
      </c>
      <c r="B235" s="1" t="s">
        <v>1524</v>
      </c>
      <c r="C235" s="1" t="s">
        <v>1478</v>
      </c>
      <c r="D235" s="1" t="s">
        <v>1477</v>
      </c>
      <c r="E235" s="1">
        <v>3</v>
      </c>
      <c r="F235" s="1">
        <v>3</v>
      </c>
      <c r="G235" s="1">
        <v>4</v>
      </c>
      <c r="H235" s="1">
        <v>1</v>
      </c>
      <c r="I235" s="1">
        <v>1.24</v>
      </c>
      <c r="J235" s="1">
        <v>1.1599999999999999</v>
      </c>
      <c r="K235" s="1">
        <v>50</v>
      </c>
      <c r="L235" s="1">
        <v>5</v>
      </c>
      <c r="M235" s="1">
        <v>5</v>
      </c>
      <c r="N235" s="1">
        <v>0</v>
      </c>
      <c r="O235" s="1" t="s">
        <v>18</v>
      </c>
      <c r="P235" s="1">
        <v>360</v>
      </c>
      <c r="Q235" s="1" t="s">
        <v>64</v>
      </c>
      <c r="R235" s="1">
        <v>125</v>
      </c>
      <c r="S235" s="1">
        <v>0</v>
      </c>
      <c r="T235" s="1">
        <v>1</v>
      </c>
      <c r="U235" s="1">
        <v>0.5</v>
      </c>
      <c r="V235" s="1">
        <v>0.2</v>
      </c>
      <c r="W235" s="1"/>
      <c r="X235" s="1"/>
      <c r="Y235" s="1"/>
      <c r="Z235" s="3">
        <f>_xlfn.IFNA(VLOOKUP(D235,附件!$B$19:$C$21,2,FALSE)+附件!$C$23,0)+S235+J235*((200/(附件!$C$25+100))^0.5)</f>
        <v>1.1599999999999999</v>
      </c>
      <c r="AA235" s="3">
        <f>G235*H235/Z235*R235/100</f>
        <v>4.3103448275862073</v>
      </c>
      <c r="AB235">
        <f>G235*H235*R235/100</f>
        <v>5</v>
      </c>
      <c r="AC235">
        <f>$AA235*T235</f>
        <v>4.3103448275862073</v>
      </c>
      <c r="AD235">
        <f>$AA235*U235</f>
        <v>2.1551724137931036</v>
      </c>
      <c r="AE235">
        <f>$AA235*V235</f>
        <v>0.86206896551724155</v>
      </c>
    </row>
    <row r="236" spans="1:31" ht="23.25" customHeight="1" x14ac:dyDescent="0.2">
      <c r="A236" s="22" t="s">
        <v>58</v>
      </c>
      <c r="B236" s="1" t="s">
        <v>58</v>
      </c>
      <c r="C236" s="1" t="s">
        <v>1478</v>
      </c>
      <c r="D236" s="1" t="s">
        <v>1480</v>
      </c>
      <c r="E236" s="1">
        <v>3</v>
      </c>
      <c r="F236" s="1">
        <v>48</v>
      </c>
      <c r="G236" s="1">
        <v>72</v>
      </c>
      <c r="H236" s="1">
        <v>2</v>
      </c>
      <c r="I236" s="1">
        <v>27.65</v>
      </c>
      <c r="J236" s="1">
        <v>25.99</v>
      </c>
      <c r="K236" s="1">
        <v>80</v>
      </c>
      <c r="L236" s="1">
        <v>0</v>
      </c>
      <c r="M236" s="1">
        <v>5</v>
      </c>
      <c r="N236" s="1">
        <v>0</v>
      </c>
      <c r="O236" s="1" t="s">
        <v>53</v>
      </c>
      <c r="P236" s="1">
        <v>50</v>
      </c>
      <c r="Q236" s="1" t="s">
        <v>64</v>
      </c>
      <c r="R236" s="1">
        <v>110</v>
      </c>
      <c r="S236" s="1">
        <v>0</v>
      </c>
      <c r="T236" s="1">
        <v>0.7</v>
      </c>
      <c r="U236" s="1">
        <v>1</v>
      </c>
      <c r="V236" s="1">
        <v>0.9</v>
      </c>
      <c r="W236" s="1"/>
      <c r="X236" s="1"/>
      <c r="Y236" s="1"/>
      <c r="Z236" s="3">
        <f>_xlfn.IFNA(VLOOKUP(D236,附件!$B$19:$C$21,2,FALSE)+附件!$C$23,0)+S236+J236*((200/(附件!$C$25+100))^0.5)</f>
        <v>25.99</v>
      </c>
      <c r="AA236" s="3">
        <f>G236*H236/Z236*R236/100</f>
        <v>6.0946517891496725</v>
      </c>
      <c r="AB236">
        <f>G236*H236*R236/100</f>
        <v>158.4</v>
      </c>
      <c r="AC236">
        <f>$AA236*T236</f>
        <v>4.2662562524047702</v>
      </c>
      <c r="AD236">
        <f>$AA236*U236</f>
        <v>6.0946517891496725</v>
      </c>
      <c r="AE236">
        <f>$AA236*V236</f>
        <v>5.4851866102347051</v>
      </c>
    </row>
    <row r="237" spans="1:31" ht="23.25" customHeight="1" x14ac:dyDescent="0.2">
      <c r="A237" s="22" t="s">
        <v>140</v>
      </c>
      <c r="B237" s="1" t="s">
        <v>140</v>
      </c>
      <c r="C237" s="1" t="s">
        <v>1476</v>
      </c>
      <c r="D237" s="1" t="s">
        <v>1480</v>
      </c>
      <c r="E237" s="1">
        <v>6</v>
      </c>
      <c r="F237" s="1">
        <v>51</v>
      </c>
      <c r="G237" s="1">
        <v>90</v>
      </c>
      <c r="H237" s="1">
        <v>2</v>
      </c>
      <c r="I237" s="1">
        <v>24.63</v>
      </c>
      <c r="J237" s="1">
        <v>21.67</v>
      </c>
      <c r="K237" s="1">
        <v>80</v>
      </c>
      <c r="L237" s="1">
        <v>0</v>
      </c>
      <c r="M237" s="1">
        <v>12</v>
      </c>
      <c r="N237" s="1">
        <v>0</v>
      </c>
      <c r="O237" s="1" t="s">
        <v>53</v>
      </c>
      <c r="P237" s="1">
        <v>50</v>
      </c>
      <c r="Q237" s="1" t="s">
        <v>27</v>
      </c>
      <c r="R237" s="1">
        <v>110</v>
      </c>
      <c r="S237" s="1">
        <v>0</v>
      </c>
      <c r="T237" s="1">
        <v>0.45</v>
      </c>
      <c r="U237" s="1">
        <v>1.3</v>
      </c>
      <c r="V237" s="1">
        <v>1.1000000000000001</v>
      </c>
      <c r="W237" s="1"/>
      <c r="X237" s="1"/>
      <c r="Y237" s="1"/>
      <c r="Z237" s="3">
        <f>_xlfn.IFNA(VLOOKUP(D237,附件!$B$19:$C$21,2,FALSE)+附件!$C$23,0)+S237+J237*((200/(附件!$C$25+100))^0.5)</f>
        <v>21.67</v>
      </c>
      <c r="AA237" s="3">
        <f>G237*H237/Z237*R237/100</f>
        <v>9.1370558375634499</v>
      </c>
      <c r="AB237">
        <f>G237*H237*R237/100</f>
        <v>198</v>
      </c>
      <c r="AC237">
        <f>$AA237*T237</f>
        <v>4.1116751269035525</v>
      </c>
      <c r="AD237">
        <f>$AA237*U237</f>
        <v>11.878172588832486</v>
      </c>
      <c r="AE237">
        <f>$AA237*V237</f>
        <v>10.050761421319796</v>
      </c>
    </row>
    <row r="238" spans="1:31" ht="23.25" customHeight="1" x14ac:dyDescent="0.2">
      <c r="A238" s="22" t="s">
        <v>71</v>
      </c>
      <c r="B238" s="1" t="s">
        <v>71</v>
      </c>
      <c r="C238" s="1" t="s">
        <v>1478</v>
      </c>
      <c r="D238" s="1" t="s">
        <v>1477</v>
      </c>
      <c r="E238" s="1">
        <v>3</v>
      </c>
      <c r="F238" s="1">
        <v>3</v>
      </c>
      <c r="G238" s="1">
        <v>4</v>
      </c>
      <c r="H238" s="1">
        <v>3</v>
      </c>
      <c r="I238" s="1">
        <v>3.46</v>
      </c>
      <c r="J238" s="1">
        <v>3.36</v>
      </c>
      <c r="K238" s="1">
        <v>50</v>
      </c>
      <c r="L238" s="1">
        <v>25</v>
      </c>
      <c r="M238" s="1">
        <v>5</v>
      </c>
      <c r="N238" s="1">
        <v>0</v>
      </c>
      <c r="O238" s="1" t="s">
        <v>18</v>
      </c>
      <c r="P238" s="1">
        <v>360</v>
      </c>
      <c r="Q238" s="1" t="s">
        <v>64</v>
      </c>
      <c r="R238" s="1">
        <v>125</v>
      </c>
      <c r="S238" s="1">
        <v>0.3</v>
      </c>
      <c r="T238" s="1">
        <v>1</v>
      </c>
      <c r="U238" s="1">
        <v>0.5</v>
      </c>
      <c r="V238" s="1">
        <v>0.2</v>
      </c>
      <c r="W238" s="1"/>
      <c r="X238" s="1"/>
      <c r="Y238" s="1"/>
      <c r="Z238" s="3">
        <f>_xlfn.IFNA(VLOOKUP(D238,附件!$B$19:$C$21,2,FALSE)+附件!$C$23,0)+S238+J238*((200/(附件!$C$25+100))^0.5)</f>
        <v>3.6599999999999997</v>
      </c>
      <c r="AA238" s="3">
        <f>G238*H238/Z238*R238/100</f>
        <v>4.0983606557377046</v>
      </c>
      <c r="AB238">
        <f>G238*H238*R238/100</f>
        <v>15</v>
      </c>
      <c r="AC238">
        <f>$AA238*T238</f>
        <v>4.0983606557377046</v>
      </c>
      <c r="AD238">
        <f>$AA238*U238</f>
        <v>2.0491803278688523</v>
      </c>
      <c r="AE238">
        <f>$AA238*V238</f>
        <v>0.81967213114754101</v>
      </c>
    </row>
    <row r="239" spans="1:31" ht="23.25" customHeight="1" x14ac:dyDescent="0.2">
      <c r="A239" s="22" t="s">
        <v>1522</v>
      </c>
      <c r="B239" s="1" t="s">
        <v>1522</v>
      </c>
      <c r="C239" s="1" t="s">
        <v>1478</v>
      </c>
      <c r="D239" s="1" t="s">
        <v>1477</v>
      </c>
      <c r="E239" s="1">
        <v>3</v>
      </c>
      <c r="F239" s="1">
        <v>3</v>
      </c>
      <c r="G239" s="1">
        <v>4</v>
      </c>
      <c r="H239" s="1">
        <v>1</v>
      </c>
      <c r="I239" s="1">
        <v>1.3</v>
      </c>
      <c r="J239" s="1">
        <v>1.22</v>
      </c>
      <c r="K239" s="1">
        <v>50</v>
      </c>
      <c r="L239" s="1">
        <v>5</v>
      </c>
      <c r="M239" s="1">
        <v>0</v>
      </c>
      <c r="N239" s="1">
        <v>0</v>
      </c>
      <c r="O239" s="1" t="s">
        <v>18</v>
      </c>
      <c r="P239" s="1">
        <v>360</v>
      </c>
      <c r="Q239" s="1" t="s">
        <v>64</v>
      </c>
      <c r="R239" s="1">
        <v>125</v>
      </c>
      <c r="S239" s="1">
        <v>0</v>
      </c>
      <c r="T239" s="1">
        <v>1</v>
      </c>
      <c r="U239" s="1">
        <v>0.5</v>
      </c>
      <c r="V239" s="1">
        <v>0.2</v>
      </c>
      <c r="W239" s="1"/>
      <c r="X239" s="1"/>
      <c r="Y239" s="1"/>
      <c r="Z239" s="3">
        <f>_xlfn.IFNA(VLOOKUP(D239,附件!$B$19:$C$21,2,FALSE)+附件!$C$23,0)+S239+J239*((200/(附件!$C$25+100))^0.5)</f>
        <v>1.22</v>
      </c>
      <c r="AA239" s="3">
        <f>G239*H239/Z239*R239/100</f>
        <v>4.0983606557377046</v>
      </c>
      <c r="AB239">
        <f>G239*H239*R239/100</f>
        <v>5</v>
      </c>
      <c r="AC239">
        <f>$AA239*T239</f>
        <v>4.0983606557377046</v>
      </c>
      <c r="AD239">
        <f>$AA239*U239</f>
        <v>2.0491803278688523</v>
      </c>
      <c r="AE239">
        <f>$AA239*V239</f>
        <v>0.81967213114754101</v>
      </c>
    </row>
    <row r="240" spans="1:31" ht="23.25" customHeight="1" x14ac:dyDescent="0.2">
      <c r="A240" s="22" t="s">
        <v>146</v>
      </c>
      <c r="B240" s="1" t="s">
        <v>146</v>
      </c>
      <c r="C240" s="1" t="s">
        <v>1478</v>
      </c>
      <c r="D240" s="1" t="s">
        <v>1480</v>
      </c>
      <c r="E240" s="1">
        <v>3</v>
      </c>
      <c r="F240" s="1">
        <v>34</v>
      </c>
      <c r="G240" s="1">
        <v>49</v>
      </c>
      <c r="H240" s="1">
        <v>4</v>
      </c>
      <c r="I240" s="1">
        <v>35.58</v>
      </c>
      <c r="J240" s="1">
        <v>33.450000000000003</v>
      </c>
      <c r="K240" s="1">
        <v>80</v>
      </c>
      <c r="L240" s="1">
        <v>0</v>
      </c>
      <c r="M240" s="1">
        <v>5</v>
      </c>
      <c r="N240" s="1">
        <v>0</v>
      </c>
      <c r="O240" s="1" t="s">
        <v>53</v>
      </c>
      <c r="P240" s="1">
        <v>50</v>
      </c>
      <c r="Q240" s="1" t="s">
        <v>64</v>
      </c>
      <c r="R240" s="1">
        <v>100</v>
      </c>
      <c r="S240" s="1">
        <v>0.15</v>
      </c>
      <c r="T240" s="1">
        <v>0.7</v>
      </c>
      <c r="U240" s="1">
        <v>1</v>
      </c>
      <c r="V240" s="1">
        <v>0.9</v>
      </c>
      <c r="W240" s="1"/>
      <c r="X240" s="1"/>
      <c r="Y240" s="1"/>
      <c r="Z240" s="3">
        <f>_xlfn.IFNA(VLOOKUP(D240,附件!$B$19:$C$21,2,FALSE)+附件!$C$23,0)+S240+J240*((200/(附件!$C$25+100))^0.5)</f>
        <v>33.6</v>
      </c>
      <c r="AA240" s="3">
        <f>G240*H240/Z240*R240/100</f>
        <v>5.8333333333333321</v>
      </c>
      <c r="AB240">
        <f>G240*H240*R240/100</f>
        <v>196</v>
      </c>
      <c r="AC240">
        <f>$AA240*T240</f>
        <v>4.0833333333333321</v>
      </c>
      <c r="AD240">
        <f>$AA240*U240</f>
        <v>5.8333333333333321</v>
      </c>
      <c r="AE240">
        <f>$AA240*V240</f>
        <v>5.2499999999999991</v>
      </c>
    </row>
    <row r="241" spans="1:31" ht="23.25" customHeight="1" x14ac:dyDescent="0.2">
      <c r="A241" s="22" t="s">
        <v>139</v>
      </c>
      <c r="B241" s="1" t="s">
        <v>139</v>
      </c>
      <c r="C241" s="1" t="s">
        <v>1558</v>
      </c>
      <c r="D241" s="1" t="s">
        <v>1480</v>
      </c>
      <c r="E241" s="1">
        <v>3</v>
      </c>
      <c r="F241" s="1">
        <v>46</v>
      </c>
      <c r="G241" s="1">
        <v>64</v>
      </c>
      <c r="H241" s="1">
        <v>2</v>
      </c>
      <c r="I241" s="1">
        <v>25.86</v>
      </c>
      <c r="J241" s="1">
        <v>24.3</v>
      </c>
      <c r="K241" s="1">
        <v>80</v>
      </c>
      <c r="L241" s="1">
        <v>0</v>
      </c>
      <c r="M241" s="1">
        <v>5</v>
      </c>
      <c r="N241" s="1">
        <v>0</v>
      </c>
      <c r="O241" s="1" t="s">
        <v>53</v>
      </c>
      <c r="P241" s="1">
        <v>50</v>
      </c>
      <c r="Q241" s="1" t="s">
        <v>64</v>
      </c>
      <c r="R241" s="1">
        <v>110</v>
      </c>
      <c r="S241" s="1">
        <v>0</v>
      </c>
      <c r="T241" s="1">
        <v>0.7</v>
      </c>
      <c r="U241" s="1">
        <v>1</v>
      </c>
      <c r="V241" s="1">
        <v>0.9</v>
      </c>
      <c r="W241" s="1"/>
      <c r="X241" s="1"/>
      <c r="Y241" s="1"/>
      <c r="Z241" s="3">
        <f>_xlfn.IFNA(VLOOKUP(D241,附件!$B$19:$C$21,2,FALSE)+附件!$C$23,0)+S241+J241*((200/(附件!$C$25+100))^0.5)</f>
        <v>24.3</v>
      </c>
      <c r="AA241" s="3">
        <f>G241*H241/Z241*R241/100</f>
        <v>5.7942386831275723</v>
      </c>
      <c r="AB241">
        <f>G241*H241*R241/100</f>
        <v>140.80000000000001</v>
      </c>
      <c r="AC241">
        <f>$AA241*T241</f>
        <v>4.0559670781893002</v>
      </c>
      <c r="AD241">
        <f>$AA241*U241</f>
        <v>5.7942386831275723</v>
      </c>
      <c r="AE241">
        <f>$AA241*V241</f>
        <v>5.2148148148148152</v>
      </c>
    </row>
    <row r="242" spans="1:31" ht="23.25" customHeight="1" x14ac:dyDescent="0.2">
      <c r="A242" s="22" t="s">
        <v>84</v>
      </c>
      <c r="B242" s="1" t="s">
        <v>84</v>
      </c>
      <c r="C242" s="1" t="s">
        <v>1478</v>
      </c>
      <c r="D242" s="1" t="s">
        <v>1480</v>
      </c>
      <c r="E242" s="1">
        <v>3</v>
      </c>
      <c r="F242" s="1">
        <v>40</v>
      </c>
      <c r="G242" s="1">
        <v>56</v>
      </c>
      <c r="H242" s="1">
        <v>3</v>
      </c>
      <c r="I242" s="1">
        <v>32.72</v>
      </c>
      <c r="J242" s="1">
        <v>31.34</v>
      </c>
      <c r="K242" s="1">
        <v>80</v>
      </c>
      <c r="L242" s="1">
        <v>0</v>
      </c>
      <c r="M242" s="1">
        <v>0</v>
      </c>
      <c r="N242" s="1">
        <v>0</v>
      </c>
      <c r="O242" s="1" t="s">
        <v>53</v>
      </c>
      <c r="P242" s="1">
        <v>50</v>
      </c>
      <c r="Q242" s="1" t="s">
        <v>64</v>
      </c>
      <c r="R242" s="1">
        <v>105</v>
      </c>
      <c r="S242" s="1">
        <v>0</v>
      </c>
      <c r="T242" s="1">
        <v>0.7</v>
      </c>
      <c r="U242" s="1">
        <v>1</v>
      </c>
      <c r="V242" s="1">
        <v>0.9</v>
      </c>
      <c r="W242" s="1"/>
      <c r="X242" s="1"/>
      <c r="Y242" s="1"/>
      <c r="Z242" s="3">
        <f>_xlfn.IFNA(VLOOKUP(D242,附件!$B$19:$C$21,2,FALSE)+附件!$C$23,0)+S242+J242*((200/(附件!$C$25+100))^0.5)</f>
        <v>31.34</v>
      </c>
      <c r="AA242" s="3">
        <f>G242*H242/Z242*R242/100</f>
        <v>5.6285896617740914</v>
      </c>
      <c r="AB242">
        <f>G242*H242*R242/100</f>
        <v>176.4</v>
      </c>
      <c r="AC242">
        <f>$AA242*T242</f>
        <v>3.9400127632418638</v>
      </c>
      <c r="AD242">
        <f>$AA242*U242</f>
        <v>5.6285896617740914</v>
      </c>
      <c r="AE242">
        <f>$AA242*V242</f>
        <v>5.0657306955966828</v>
      </c>
    </row>
    <row r="243" spans="1:31" ht="23.25" customHeight="1" x14ac:dyDescent="0.2">
      <c r="A243" s="22" t="s">
        <v>54</v>
      </c>
      <c r="B243" s="1" t="s">
        <v>54</v>
      </c>
      <c r="C243" s="1" t="s">
        <v>1478</v>
      </c>
      <c r="D243" s="1" t="s">
        <v>1480</v>
      </c>
      <c r="E243" s="1">
        <v>3</v>
      </c>
      <c r="F243" s="1">
        <v>38</v>
      </c>
      <c r="G243" s="1">
        <v>56</v>
      </c>
      <c r="H243" s="1">
        <v>2</v>
      </c>
      <c r="I243" s="1">
        <v>24.2</v>
      </c>
      <c r="J243" s="1">
        <v>22.75</v>
      </c>
      <c r="K243" s="1">
        <v>80</v>
      </c>
      <c r="L243" s="1">
        <v>0</v>
      </c>
      <c r="M243" s="1">
        <v>0</v>
      </c>
      <c r="N243" s="1">
        <v>0</v>
      </c>
      <c r="O243" s="1" t="s">
        <v>53</v>
      </c>
      <c r="P243" s="1">
        <v>50</v>
      </c>
      <c r="Q243" s="1" t="s">
        <v>64</v>
      </c>
      <c r="R243" s="1">
        <v>110</v>
      </c>
      <c r="S243" s="1">
        <v>0</v>
      </c>
      <c r="T243" s="1">
        <v>0.7</v>
      </c>
      <c r="U243" s="1">
        <v>1</v>
      </c>
      <c r="V243" s="1">
        <v>0.9</v>
      </c>
      <c r="W243" s="1"/>
      <c r="X243" s="1"/>
      <c r="Y243" s="1"/>
      <c r="Z243" s="3">
        <f>_xlfn.IFNA(VLOOKUP(D243,附件!$B$19:$C$21,2,FALSE)+附件!$C$23,0)+S243+J243*((200/(附件!$C$25+100))^0.5)</f>
        <v>22.75</v>
      </c>
      <c r="AA243" s="3">
        <f>G243*H243/Z243*R243/100</f>
        <v>5.4153846153846157</v>
      </c>
      <c r="AB243">
        <f>G243*H243*R243/100</f>
        <v>123.2</v>
      </c>
      <c r="AC243">
        <f>$AA243*T243</f>
        <v>3.7907692307692309</v>
      </c>
      <c r="AD243">
        <f>$AA243*U243</f>
        <v>5.4153846153846157</v>
      </c>
      <c r="AE243">
        <f>$AA243*V243</f>
        <v>4.8738461538461539</v>
      </c>
    </row>
    <row r="244" spans="1:31" ht="23.25" customHeight="1" x14ac:dyDescent="0.2">
      <c r="A244" s="22" t="s">
        <v>57</v>
      </c>
      <c r="B244" s="1" t="s">
        <v>57</v>
      </c>
      <c r="C244" s="1" t="s">
        <v>1483</v>
      </c>
      <c r="D244" s="1" t="s">
        <v>1480</v>
      </c>
      <c r="E244" s="1">
        <v>13</v>
      </c>
      <c r="F244" s="1">
        <v>12</v>
      </c>
      <c r="G244" s="1">
        <v>22</v>
      </c>
      <c r="H244" s="1">
        <v>2</v>
      </c>
      <c r="I244" s="1">
        <v>24.28</v>
      </c>
      <c r="J244" s="1">
        <v>19.29</v>
      </c>
      <c r="K244" s="1">
        <v>55</v>
      </c>
      <c r="L244" s="1">
        <v>0</v>
      </c>
      <c r="M244" s="1">
        <v>25</v>
      </c>
      <c r="N244" s="1">
        <v>25</v>
      </c>
      <c r="O244" s="1" t="s">
        <v>43</v>
      </c>
      <c r="P244" s="1">
        <v>50</v>
      </c>
      <c r="Q244" s="1" t="s">
        <v>19</v>
      </c>
      <c r="R244" s="1">
        <v>110</v>
      </c>
      <c r="S244" s="1">
        <v>0</v>
      </c>
      <c r="T244" s="1">
        <v>1.4</v>
      </c>
      <c r="U244" s="1">
        <v>1.1000000000000001</v>
      </c>
      <c r="V244" s="1">
        <v>0.9</v>
      </c>
      <c r="W244" s="1"/>
      <c r="X244" s="1"/>
      <c r="Y244" s="1"/>
      <c r="Z244" s="3">
        <f>_xlfn.IFNA(VLOOKUP(D244,附件!$B$19:$C$21,2,FALSE)+附件!$C$23,0)+S244+J244*((200/(附件!$C$25+100))^0.5)</f>
        <v>19.29</v>
      </c>
      <c r="AA244" s="3">
        <f>G244*H244/Z244*R244/100</f>
        <v>2.5090720580611721</v>
      </c>
      <c r="AB244">
        <f>G244*H244*R244/100</f>
        <v>48.4</v>
      </c>
      <c r="AC244">
        <f>$AA244*T244</f>
        <v>3.5127008812856406</v>
      </c>
      <c r="AD244">
        <f>$AA244*U244</f>
        <v>2.7599792638672893</v>
      </c>
      <c r="AE244">
        <f>$AA244*V244</f>
        <v>2.2581648522550548</v>
      </c>
    </row>
    <row r="245" spans="1:31" ht="23.25" customHeight="1" x14ac:dyDescent="0.2">
      <c r="A245" s="22"/>
      <c r="B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3"/>
      <c r="AA245" s="3"/>
    </row>
    <row r="246" spans="1:31" ht="23.25" customHeight="1" x14ac:dyDescent="0.2">
      <c r="A246" s="22"/>
      <c r="B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3"/>
      <c r="AA246" s="3"/>
    </row>
    <row r="247" spans="1:31" ht="23.25" customHeight="1" x14ac:dyDescent="0.2">
      <c r="A247" s="22"/>
      <c r="B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3"/>
      <c r="AA247" s="3"/>
    </row>
    <row r="248" spans="1:31" ht="23.25" customHeight="1" x14ac:dyDescent="0.2">
      <c r="A248" s="22"/>
      <c r="B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3"/>
      <c r="AA248" s="3"/>
    </row>
    <row r="249" spans="1:31" ht="23.25" customHeight="1" x14ac:dyDescent="0.2">
      <c r="A249" s="22"/>
      <c r="B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3"/>
      <c r="AA249" s="3"/>
    </row>
    <row r="250" spans="1:31" ht="23.25" customHeight="1" x14ac:dyDescent="0.2">
      <c r="A250" s="22"/>
      <c r="B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3"/>
      <c r="AA250" s="3"/>
    </row>
    <row r="251" spans="1:31" ht="23.25" customHeight="1" x14ac:dyDescent="0.2">
      <c r="A251" s="22"/>
      <c r="B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3"/>
      <c r="AA251" s="3"/>
    </row>
    <row r="252" spans="1:31" ht="23.25" customHeight="1" x14ac:dyDescent="0.2">
      <c r="A252" s="22"/>
      <c r="B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3"/>
      <c r="AA252" s="3"/>
    </row>
  </sheetData>
  <autoFilter ref="A1:AE190">
    <sortState ref="A2:AE244">
      <sortCondition descending="1" ref="AC1:AC190"/>
    </sortState>
  </autoFilter>
  <phoneticPr fontId="1" type="noConversion"/>
  <conditionalFormatting sqref="Q253:Q1048576 Q1:Q57">
    <cfRule type="cellIs" dxfId="55" priority="33" operator="equal">
      <formula>"通常弹"</formula>
    </cfRule>
    <cfRule type="cellIs" dxfId="54" priority="34" operator="equal">
      <formula>"穿甲弹"</formula>
    </cfRule>
    <cfRule type="cellIs" dxfId="53" priority="35" operator="equal">
      <formula>"高爆弹"</formula>
    </cfRule>
  </conditionalFormatting>
  <conditionalFormatting sqref="Q158:Q178">
    <cfRule type="cellIs" dxfId="52" priority="27" operator="equal">
      <formula>"通常弹"</formula>
    </cfRule>
    <cfRule type="cellIs" dxfId="51" priority="28" operator="equal">
      <formula>"穿甲弹"</formula>
    </cfRule>
    <cfRule type="cellIs" dxfId="50" priority="29" operator="equal">
      <formula>"高爆弹"</formula>
    </cfRule>
  </conditionalFormatting>
  <conditionalFormatting sqref="Q58:Q157">
    <cfRule type="cellIs" dxfId="49" priority="21" operator="equal">
      <formula>"通常弹"</formula>
    </cfRule>
    <cfRule type="cellIs" dxfId="48" priority="22" operator="equal">
      <formula>"穿甲弹"</formula>
    </cfRule>
    <cfRule type="cellIs" dxfId="47" priority="23" operator="equal">
      <formula>"高爆弹"</formula>
    </cfRule>
  </conditionalFormatting>
  <conditionalFormatting sqref="Q179:Q186">
    <cfRule type="cellIs" dxfId="46" priority="15" operator="equal">
      <formula>"通常弹"</formula>
    </cfRule>
    <cfRule type="cellIs" dxfId="45" priority="16" operator="equal">
      <formula>"穿甲弹"</formula>
    </cfRule>
    <cfRule type="cellIs" dxfId="44" priority="17" operator="equal">
      <formula>"高爆弹"</formula>
    </cfRule>
  </conditionalFormatting>
  <conditionalFormatting sqref="Q187:Q190">
    <cfRule type="cellIs" dxfId="43" priority="9" operator="equal">
      <formula>"通常弹"</formula>
    </cfRule>
    <cfRule type="cellIs" dxfId="42" priority="10" operator="equal">
      <formula>"穿甲弹"</formula>
    </cfRule>
    <cfRule type="cellIs" dxfId="41" priority="11" operator="equal">
      <formula>"高爆弹"</formula>
    </cfRule>
  </conditionalFormatting>
  <conditionalFormatting sqref="Q191:Q252">
    <cfRule type="cellIs" dxfId="40" priority="3" operator="equal">
      <formula>"通常弹"</formula>
    </cfRule>
    <cfRule type="cellIs" dxfId="39" priority="4" operator="equal">
      <formula>"穿甲弹"</formula>
    </cfRule>
    <cfRule type="cellIs" dxfId="38" priority="5" operator="equal">
      <formula>"高爆弹"</formula>
    </cfRule>
  </conditionalFormatting>
  <conditionalFormatting sqref="C1:C1048576">
    <cfRule type="cellIs" dxfId="37" priority="6" operator="equal">
      <formula>"Purple"</formula>
    </cfRule>
    <cfRule type="cellIs" dxfId="36" priority="7" operator="equal">
      <formula>"Gold"</formula>
    </cfRule>
    <cfRule type="cellIs" dxfId="35" priority="8" operator="equal">
      <formula>"Blue"</formula>
    </cfRule>
    <cfRule type="cellIs" dxfId="34" priority="2" operator="equal">
      <formula>"Gray"</formula>
    </cfRule>
    <cfRule type="cellIs" dxfId="33" priority="1" operator="equal">
      <formula>"SSR"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92"/>
  <sheetViews>
    <sheetView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D24" sqref="C24:D24"/>
    </sheetView>
  </sheetViews>
  <sheetFormatPr defaultRowHeight="14.25" x14ac:dyDescent="0.2"/>
  <cols>
    <col min="1" max="1" width="2.875" style="6" customWidth="1"/>
    <col min="2" max="2" width="26.625" style="6" customWidth="1"/>
    <col min="3" max="19" width="9" style="6"/>
    <col min="20" max="20" width="13.875" style="6" customWidth="1"/>
    <col min="21" max="16384" width="9" style="6"/>
  </cols>
  <sheetData>
    <row r="1" spans="1:20" s="5" customFormat="1" x14ac:dyDescent="0.2">
      <c r="A1" s="5" t="s">
        <v>879</v>
      </c>
      <c r="B1" s="4" t="s">
        <v>849</v>
      </c>
      <c r="C1" s="4" t="s">
        <v>1</v>
      </c>
      <c r="D1" s="4" t="s">
        <v>850</v>
      </c>
      <c r="E1" s="4" t="s">
        <v>851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11</v>
      </c>
      <c r="K1" s="4" t="s">
        <v>169</v>
      </c>
      <c r="L1" s="4" t="s">
        <v>1416</v>
      </c>
      <c r="M1" s="4" t="s">
        <v>170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5" t="s">
        <v>877</v>
      </c>
      <c r="T1" s="5" t="s">
        <v>878</v>
      </c>
    </row>
    <row r="2" spans="1:20" ht="17.25" customHeight="1" x14ac:dyDescent="0.2">
      <c r="A2" s="22" t="s">
        <v>223</v>
      </c>
      <c r="B2" s="1" t="s">
        <v>223</v>
      </c>
      <c r="C2" s="1" t="s">
        <v>37</v>
      </c>
      <c r="D2" s="1">
        <v>38</v>
      </c>
      <c r="E2" s="1">
        <v>96</v>
      </c>
      <c r="F2" s="1">
        <v>1</v>
      </c>
      <c r="G2" s="1">
        <v>0.8</v>
      </c>
      <c r="H2" s="1">
        <v>30</v>
      </c>
      <c r="I2" s="1" t="s">
        <v>38</v>
      </c>
      <c r="J2" s="1">
        <v>45</v>
      </c>
      <c r="K2" s="1">
        <v>10</v>
      </c>
      <c r="L2" s="1"/>
      <c r="M2" s="1" t="s">
        <v>171</v>
      </c>
      <c r="N2" s="1">
        <v>360</v>
      </c>
      <c r="O2" s="1" t="s">
        <v>100</v>
      </c>
      <c r="P2" s="1" t="s">
        <v>158</v>
      </c>
      <c r="Q2" s="1"/>
      <c r="R2" s="1" t="s">
        <v>966</v>
      </c>
      <c r="S2" s="6">
        <f>(E2*附件!$B$30+附件!$C$30)/G2</f>
        <v>147.19999999999999</v>
      </c>
      <c r="T2" s="6">
        <f t="shared" ref="T2:T33" si="0">S2*H2^1.2</f>
        <v>8718.7317454465647</v>
      </c>
    </row>
    <row r="3" spans="1:20" ht="17.25" customHeight="1" x14ac:dyDescent="0.2">
      <c r="A3" s="22" t="s">
        <v>1359</v>
      </c>
      <c r="B3" s="1" t="s">
        <v>1359</v>
      </c>
      <c r="C3" s="1" t="s">
        <v>37</v>
      </c>
      <c r="D3" s="1">
        <v>42</v>
      </c>
      <c r="E3" s="1">
        <v>150</v>
      </c>
      <c r="F3" s="1">
        <v>1.43</v>
      </c>
      <c r="G3" s="1">
        <v>1.17</v>
      </c>
      <c r="H3" s="1">
        <v>28</v>
      </c>
      <c r="I3" s="1" t="s">
        <v>38</v>
      </c>
      <c r="J3" s="1">
        <v>45</v>
      </c>
      <c r="K3" s="1"/>
      <c r="L3" s="1"/>
      <c r="M3" s="1" t="s">
        <v>171</v>
      </c>
      <c r="N3" s="1">
        <v>360</v>
      </c>
      <c r="O3" s="1" t="s">
        <v>100</v>
      </c>
      <c r="P3" s="1" t="s">
        <v>158</v>
      </c>
      <c r="Q3" s="1"/>
      <c r="R3" s="1" t="s">
        <v>1360</v>
      </c>
      <c r="S3" s="6">
        <f>(E3*附件!$B$30+附件!$C$30)/G3</f>
        <v>156.95726495726495</v>
      </c>
      <c r="T3" s="6">
        <f t="shared" si="0"/>
        <v>8557.9759161516995</v>
      </c>
    </row>
    <row r="4" spans="1:20" ht="17.25" customHeight="1" x14ac:dyDescent="0.2">
      <c r="A4" s="22" t="s">
        <v>219</v>
      </c>
      <c r="B4" s="1" t="s">
        <v>219</v>
      </c>
      <c r="C4" s="6" t="s">
        <v>37</v>
      </c>
      <c r="D4" s="1">
        <v>52</v>
      </c>
      <c r="E4" s="1">
        <v>130</v>
      </c>
      <c r="F4" s="1">
        <v>1.71</v>
      </c>
      <c r="G4" s="1">
        <v>1.36</v>
      </c>
      <c r="H4" s="1">
        <v>35</v>
      </c>
      <c r="I4" s="1" t="s">
        <v>38</v>
      </c>
      <c r="J4" s="1">
        <v>45</v>
      </c>
      <c r="K4" s="1"/>
      <c r="L4" s="1"/>
      <c r="M4" s="1" t="s">
        <v>171</v>
      </c>
      <c r="N4" s="1">
        <v>360</v>
      </c>
      <c r="O4" s="1" t="s">
        <v>100</v>
      </c>
      <c r="P4" s="1" t="s">
        <v>20</v>
      </c>
      <c r="Q4" s="1" t="s">
        <v>1437</v>
      </c>
      <c r="R4" s="1" t="s">
        <v>960</v>
      </c>
      <c r="S4" s="6">
        <f>(E4*附件!$B$30+附件!$C$30)/G4</f>
        <v>117.08823529411762</v>
      </c>
      <c r="T4" s="6">
        <f t="shared" si="0"/>
        <v>8344.3961448991067</v>
      </c>
    </row>
    <row r="5" spans="1:20" ht="17.25" customHeight="1" x14ac:dyDescent="0.2">
      <c r="A5" s="22" t="s">
        <v>923</v>
      </c>
      <c r="B5" s="1" t="s">
        <v>923</v>
      </c>
      <c r="C5" s="1" t="s">
        <v>37</v>
      </c>
      <c r="D5" s="1">
        <v>45</v>
      </c>
      <c r="E5" s="1">
        <v>98</v>
      </c>
      <c r="F5" s="1">
        <v>1.1000000000000001</v>
      </c>
      <c r="G5" s="1">
        <v>0.9</v>
      </c>
      <c r="H5" s="1">
        <v>31</v>
      </c>
      <c r="I5" s="1" t="s">
        <v>38</v>
      </c>
      <c r="J5" s="1">
        <v>45</v>
      </c>
      <c r="K5" s="1"/>
      <c r="L5" s="1"/>
      <c r="M5" s="1" t="s">
        <v>171</v>
      </c>
      <c r="N5" s="1">
        <v>360</v>
      </c>
      <c r="O5" s="1" t="s">
        <v>100</v>
      </c>
      <c r="P5" s="1"/>
      <c r="Q5" s="1" t="s">
        <v>1427</v>
      </c>
      <c r="R5" s="1" t="s">
        <v>924</v>
      </c>
      <c r="S5" s="6">
        <f>(E5*附件!$B$30+附件!$C$30)/G5</f>
        <v>133.55555555555554</v>
      </c>
      <c r="T5" s="6">
        <f t="shared" si="0"/>
        <v>8228.0323555896703</v>
      </c>
    </row>
    <row r="6" spans="1:20" ht="17.25" customHeight="1" x14ac:dyDescent="0.2">
      <c r="A6" s="22" t="s">
        <v>882</v>
      </c>
      <c r="B6" s="1" t="s">
        <v>882</v>
      </c>
      <c r="C6" s="1" t="s">
        <v>37</v>
      </c>
      <c r="D6" s="1">
        <v>50</v>
      </c>
      <c r="E6" s="1">
        <v>126</v>
      </c>
      <c r="F6" s="1">
        <v>1.6</v>
      </c>
      <c r="G6" s="1">
        <v>1.28</v>
      </c>
      <c r="H6" s="1">
        <v>32</v>
      </c>
      <c r="I6" s="1" t="s">
        <v>38</v>
      </c>
      <c r="J6" s="1">
        <v>45</v>
      </c>
      <c r="K6" s="1"/>
      <c r="L6" s="1"/>
      <c r="M6" s="1" t="s">
        <v>171</v>
      </c>
      <c r="N6" s="1">
        <v>360</v>
      </c>
      <c r="O6" s="1" t="s">
        <v>100</v>
      </c>
      <c r="P6" s="1" t="s">
        <v>158</v>
      </c>
      <c r="Q6" s="1"/>
      <c r="R6" s="1" t="s">
        <v>883</v>
      </c>
      <c r="S6" s="6">
        <f>(E6*附件!$B$30+附件!$C$30)/G6</f>
        <v>120.59374999999999</v>
      </c>
      <c r="T6" s="6">
        <f t="shared" si="0"/>
        <v>7717.9999999999964</v>
      </c>
    </row>
    <row r="7" spans="1:20" ht="17.25" customHeight="1" x14ac:dyDescent="0.2">
      <c r="A7" s="22" t="s">
        <v>208</v>
      </c>
      <c r="B7" s="1" t="s">
        <v>208</v>
      </c>
      <c r="C7" s="1" t="s">
        <v>37</v>
      </c>
      <c r="D7" s="1">
        <v>49</v>
      </c>
      <c r="E7" s="1">
        <v>122</v>
      </c>
      <c r="F7" s="1">
        <v>1.54</v>
      </c>
      <c r="G7" s="1">
        <v>1.24</v>
      </c>
      <c r="H7" s="1">
        <v>32</v>
      </c>
      <c r="I7" s="1" t="s">
        <v>38</v>
      </c>
      <c r="J7" s="1">
        <v>45</v>
      </c>
      <c r="K7" s="1"/>
      <c r="L7" s="1"/>
      <c r="M7" s="1" t="s">
        <v>171</v>
      </c>
      <c r="N7" s="1">
        <v>360</v>
      </c>
      <c r="O7" s="1" t="s">
        <v>100</v>
      </c>
      <c r="P7" s="1" t="s">
        <v>65</v>
      </c>
      <c r="Q7" s="1" t="s">
        <v>1432</v>
      </c>
      <c r="R7" s="1" t="s">
        <v>943</v>
      </c>
      <c r="S7" s="6">
        <f>(E7*附件!$B$30+附件!$C$30)/G7</f>
        <v>120.54838709677419</v>
      </c>
      <c r="T7" s="6">
        <f t="shared" si="0"/>
        <v>7715.0967741935456</v>
      </c>
    </row>
    <row r="8" spans="1:20" ht="17.25" customHeight="1" x14ac:dyDescent="0.2">
      <c r="A8" s="22" t="s">
        <v>929</v>
      </c>
      <c r="B8" s="1" t="s">
        <v>929</v>
      </c>
      <c r="C8" s="1" t="s">
        <v>26</v>
      </c>
      <c r="D8" s="1">
        <v>38</v>
      </c>
      <c r="E8" s="1">
        <v>96</v>
      </c>
      <c r="F8" s="1">
        <v>1.34</v>
      </c>
      <c r="G8" s="1">
        <v>1.06</v>
      </c>
      <c r="H8" s="1">
        <v>33</v>
      </c>
      <c r="I8" s="1" t="s">
        <v>38</v>
      </c>
      <c r="J8" s="1">
        <v>25</v>
      </c>
      <c r="K8" s="1"/>
      <c r="L8" s="1"/>
      <c r="M8" s="1" t="s">
        <v>171</v>
      </c>
      <c r="N8" s="1">
        <v>360</v>
      </c>
      <c r="O8" s="1" t="s">
        <v>100</v>
      </c>
      <c r="P8" s="1"/>
      <c r="Q8" s="1" t="s">
        <v>867</v>
      </c>
      <c r="R8" s="1" t="s">
        <v>930</v>
      </c>
      <c r="S8" s="6">
        <f>(E8*附件!$B$30+附件!$C$30)/G8</f>
        <v>111.09433962264151</v>
      </c>
      <c r="T8" s="6">
        <f t="shared" si="0"/>
        <v>7377.4905110602285</v>
      </c>
    </row>
    <row r="9" spans="1:20" ht="17.25" customHeight="1" x14ac:dyDescent="0.2">
      <c r="A9" s="22" t="s">
        <v>921</v>
      </c>
      <c r="B9" s="1" t="s">
        <v>921</v>
      </c>
      <c r="C9" s="1" t="s">
        <v>26</v>
      </c>
      <c r="D9" s="1">
        <v>35</v>
      </c>
      <c r="E9" s="1">
        <v>90</v>
      </c>
      <c r="F9" s="1">
        <v>1.1599999999999999</v>
      </c>
      <c r="G9" s="1">
        <v>0.94</v>
      </c>
      <c r="H9" s="1">
        <v>31</v>
      </c>
      <c r="I9" s="1" t="s">
        <v>38</v>
      </c>
      <c r="J9" s="1">
        <v>25</v>
      </c>
      <c r="K9" s="1"/>
      <c r="L9" s="1"/>
      <c r="M9" s="1" t="s">
        <v>171</v>
      </c>
      <c r="N9" s="1">
        <v>360</v>
      </c>
      <c r="O9" s="1" t="s">
        <v>100</v>
      </c>
      <c r="P9" s="1"/>
      <c r="Q9" s="1" t="s">
        <v>860</v>
      </c>
      <c r="R9" s="1" t="s">
        <v>922</v>
      </c>
      <c r="S9" s="6">
        <f>(E9*附件!$B$30+附件!$C$30)/G9</f>
        <v>117.48936170212767</v>
      </c>
      <c r="T9" s="6">
        <f t="shared" si="0"/>
        <v>7238.233299254709</v>
      </c>
    </row>
    <row r="10" spans="1:20" ht="17.25" customHeight="1" x14ac:dyDescent="0.2">
      <c r="A10" s="22" t="s">
        <v>212</v>
      </c>
      <c r="B10" s="1" t="s">
        <v>212</v>
      </c>
      <c r="C10" s="1" t="s">
        <v>37</v>
      </c>
      <c r="D10" s="1">
        <v>38</v>
      </c>
      <c r="E10" s="1">
        <v>78</v>
      </c>
      <c r="F10" s="1">
        <v>0.94</v>
      </c>
      <c r="G10" s="1">
        <v>0.73</v>
      </c>
      <c r="H10" s="1">
        <v>28</v>
      </c>
      <c r="I10" s="1" t="s">
        <v>38</v>
      </c>
      <c r="J10" s="1">
        <v>45</v>
      </c>
      <c r="K10" s="1"/>
      <c r="L10" s="1"/>
      <c r="M10" s="1" t="s">
        <v>171</v>
      </c>
      <c r="N10" s="1">
        <v>360</v>
      </c>
      <c r="O10" s="1" t="s">
        <v>100</v>
      </c>
      <c r="P10" s="1" t="s">
        <v>158</v>
      </c>
      <c r="Q10" s="1"/>
      <c r="R10" s="1" t="s">
        <v>953</v>
      </c>
      <c r="S10" s="6">
        <f>(E10*附件!$B$30+附件!$C$30)/G10</f>
        <v>131.23287671232876</v>
      </c>
      <c r="T10" s="6">
        <f t="shared" si="0"/>
        <v>7155.3731432387021</v>
      </c>
    </row>
    <row r="11" spans="1:20" ht="17.25" customHeight="1" x14ac:dyDescent="0.2">
      <c r="A11" s="22" t="s">
        <v>218</v>
      </c>
      <c r="B11" s="1" t="s">
        <v>218</v>
      </c>
      <c r="C11" s="1" t="s">
        <v>26</v>
      </c>
      <c r="D11" s="1">
        <v>45</v>
      </c>
      <c r="E11" s="1">
        <v>112</v>
      </c>
      <c r="F11" s="1">
        <v>1.8</v>
      </c>
      <c r="G11" s="1">
        <v>1.44</v>
      </c>
      <c r="H11" s="1">
        <v>35</v>
      </c>
      <c r="I11" s="1" t="s">
        <v>38</v>
      </c>
      <c r="J11" s="1">
        <v>25</v>
      </c>
      <c r="K11" s="1"/>
      <c r="L11" s="1"/>
      <c r="M11" s="1" t="s">
        <v>171</v>
      </c>
      <c r="N11" s="1">
        <v>360</v>
      </c>
      <c r="O11" s="1" t="s">
        <v>100</v>
      </c>
      <c r="P11" s="1" t="s">
        <v>20</v>
      </c>
      <c r="Q11" s="1" t="s">
        <v>1436</v>
      </c>
      <c r="R11" s="1" t="s">
        <v>959</v>
      </c>
      <c r="S11" s="6">
        <f>(E11*附件!$B$30+附件!$C$30)/G11</f>
        <v>95.333333333333314</v>
      </c>
      <c r="T11" s="6">
        <f t="shared" si="0"/>
        <v>6794.0139088167898</v>
      </c>
    </row>
    <row r="12" spans="1:20" ht="17.25" customHeight="1" x14ac:dyDescent="0.2">
      <c r="A12" s="22" t="s">
        <v>181</v>
      </c>
      <c r="B12" s="1" t="s">
        <v>181</v>
      </c>
      <c r="C12" s="1" t="s">
        <v>26</v>
      </c>
      <c r="D12" s="1">
        <v>46</v>
      </c>
      <c r="E12" s="1">
        <v>116</v>
      </c>
      <c r="F12" s="1">
        <v>1.9</v>
      </c>
      <c r="G12" s="1">
        <v>1.52</v>
      </c>
      <c r="H12" s="1">
        <v>35</v>
      </c>
      <c r="I12" s="1" t="s">
        <v>38</v>
      </c>
      <c r="J12" s="1">
        <v>25</v>
      </c>
      <c r="K12" s="1"/>
      <c r="L12" s="1"/>
      <c r="M12" s="1" t="s">
        <v>171</v>
      </c>
      <c r="N12" s="1">
        <v>360</v>
      </c>
      <c r="O12" s="1" t="s">
        <v>100</v>
      </c>
      <c r="P12" s="1" t="s">
        <v>21</v>
      </c>
      <c r="Q12" s="1" t="s">
        <v>1419</v>
      </c>
      <c r="R12" s="1" t="s">
        <v>892</v>
      </c>
      <c r="S12" s="6">
        <f>(E12*附件!$B$30+附件!$C$30)/G12</f>
        <v>93.526315789473685</v>
      </c>
      <c r="T12" s="6">
        <f t="shared" si="0"/>
        <v>6665.2352130847103</v>
      </c>
    </row>
    <row r="13" spans="1:20" ht="17.25" customHeight="1" x14ac:dyDescent="0.2">
      <c r="A13" s="22" t="s">
        <v>961</v>
      </c>
      <c r="B13" s="1" t="s">
        <v>961</v>
      </c>
      <c r="C13" s="1" t="s">
        <v>37</v>
      </c>
      <c r="D13" s="1">
        <v>53</v>
      </c>
      <c r="E13" s="1">
        <v>132</v>
      </c>
      <c r="F13" s="1">
        <v>2.11</v>
      </c>
      <c r="G13" s="1">
        <v>1.76</v>
      </c>
      <c r="H13" s="1">
        <v>35</v>
      </c>
      <c r="I13" s="1" t="s">
        <v>38</v>
      </c>
      <c r="J13" s="1">
        <v>30</v>
      </c>
      <c r="K13" s="1"/>
      <c r="L13" s="1">
        <v>15</v>
      </c>
      <c r="M13" s="1" t="s">
        <v>171</v>
      </c>
      <c r="N13" s="1">
        <v>360</v>
      </c>
      <c r="O13" s="1" t="s">
        <v>100</v>
      </c>
      <c r="P13" s="1"/>
      <c r="Q13" s="1"/>
      <c r="R13" s="1" t="s">
        <v>962</v>
      </c>
      <c r="S13" s="6">
        <f>(E13*附件!$B$30+附件!$C$30)/G13</f>
        <v>91.863636363636346</v>
      </c>
      <c r="T13" s="6">
        <f t="shared" si="0"/>
        <v>6546.7429003744746</v>
      </c>
    </row>
    <row r="14" spans="1:20" ht="17.25" customHeight="1" x14ac:dyDescent="0.2">
      <c r="A14" s="22" t="s">
        <v>202</v>
      </c>
      <c r="B14" s="1" t="s">
        <v>202</v>
      </c>
      <c r="C14" s="1" t="s">
        <v>37</v>
      </c>
      <c r="D14" s="1">
        <v>50</v>
      </c>
      <c r="E14" s="1">
        <v>128</v>
      </c>
      <c r="F14" s="1">
        <v>1.46</v>
      </c>
      <c r="G14" s="1">
        <v>1.17</v>
      </c>
      <c r="H14" s="1">
        <v>25</v>
      </c>
      <c r="I14" s="1" t="s">
        <v>38</v>
      </c>
      <c r="J14" s="1">
        <v>45</v>
      </c>
      <c r="K14" s="1"/>
      <c r="L14" s="1"/>
      <c r="M14" s="1" t="s">
        <v>171</v>
      </c>
      <c r="N14" s="1">
        <v>360</v>
      </c>
      <c r="O14" s="1" t="s">
        <v>100</v>
      </c>
      <c r="P14" s="1" t="s">
        <v>20</v>
      </c>
      <c r="Q14" s="1" t="s">
        <v>1429</v>
      </c>
      <c r="R14" s="1" t="s">
        <v>937</v>
      </c>
      <c r="S14" s="6">
        <f>(E14*附件!$B$30+附件!$C$30)/G14</f>
        <v>134.01709401709402</v>
      </c>
      <c r="T14" s="6">
        <f t="shared" si="0"/>
        <v>6378.0542220224279</v>
      </c>
    </row>
    <row r="15" spans="1:20" ht="17.25" customHeight="1" x14ac:dyDescent="0.2">
      <c r="A15" s="22" t="s">
        <v>207</v>
      </c>
      <c r="B15" s="1" t="s">
        <v>207</v>
      </c>
      <c r="C15" s="1" t="s">
        <v>26</v>
      </c>
      <c r="D15" s="1">
        <v>41</v>
      </c>
      <c r="E15" s="1">
        <v>102</v>
      </c>
      <c r="F15" s="1">
        <v>1.62</v>
      </c>
      <c r="G15" s="1">
        <v>1.3</v>
      </c>
      <c r="H15" s="1">
        <v>32</v>
      </c>
      <c r="I15" s="1" t="s">
        <v>38</v>
      </c>
      <c r="J15" s="1">
        <v>25</v>
      </c>
      <c r="K15" s="1"/>
      <c r="L15" s="1"/>
      <c r="M15" s="1" t="s">
        <v>171</v>
      </c>
      <c r="N15" s="1">
        <v>360</v>
      </c>
      <c r="O15" s="1" t="s">
        <v>100</v>
      </c>
      <c r="P15" s="1" t="s">
        <v>65</v>
      </c>
      <c r="Q15" s="1" t="s">
        <v>1431</v>
      </c>
      <c r="R15" s="1" t="s">
        <v>942</v>
      </c>
      <c r="S15" s="6">
        <f>(E15*附件!$B$30+附件!$C$30)/G15</f>
        <v>96.215384615384608</v>
      </c>
      <c r="T15" s="6">
        <f t="shared" si="0"/>
        <v>6157.7846153846131</v>
      </c>
    </row>
    <row r="16" spans="1:20" ht="17.25" customHeight="1" x14ac:dyDescent="0.2">
      <c r="A16" s="22" t="s">
        <v>933</v>
      </c>
      <c r="B16" s="1" t="s">
        <v>933</v>
      </c>
      <c r="C16" s="6" t="s">
        <v>26</v>
      </c>
      <c r="D16" s="1">
        <v>43</v>
      </c>
      <c r="E16" s="1">
        <v>110</v>
      </c>
      <c r="F16" s="1">
        <v>1.81</v>
      </c>
      <c r="G16" s="1">
        <v>1.44</v>
      </c>
      <c r="H16" s="1">
        <v>32</v>
      </c>
      <c r="I16" s="1" t="s">
        <v>38</v>
      </c>
      <c r="J16" s="1">
        <v>25</v>
      </c>
      <c r="K16" s="1"/>
      <c r="L16" s="1"/>
      <c r="M16" s="1" t="s">
        <v>171</v>
      </c>
      <c r="N16" s="1">
        <v>360</v>
      </c>
      <c r="O16" s="1" t="s">
        <v>100</v>
      </c>
      <c r="P16" s="1"/>
      <c r="Q16" s="2" t="s">
        <v>852</v>
      </c>
      <c r="R16" s="1" t="s">
        <v>934</v>
      </c>
      <c r="S16" s="6">
        <f>(E16*附件!$B$30+附件!$C$30)/G16</f>
        <v>93.638888888888872</v>
      </c>
      <c r="T16" s="6">
        <f t="shared" si="0"/>
        <v>5992.888888888886</v>
      </c>
    </row>
    <row r="17" spans="1:20" ht="17.25" customHeight="1" x14ac:dyDescent="0.2">
      <c r="A17" s="22" t="s">
        <v>201</v>
      </c>
      <c r="B17" s="1" t="s">
        <v>201</v>
      </c>
      <c r="C17" s="1" t="s">
        <v>26</v>
      </c>
      <c r="D17" s="1">
        <v>46</v>
      </c>
      <c r="E17" s="1">
        <v>117</v>
      </c>
      <c r="F17" s="1">
        <v>1.54</v>
      </c>
      <c r="G17" s="1">
        <v>1.23</v>
      </c>
      <c r="H17" s="1">
        <v>25</v>
      </c>
      <c r="I17" s="1" t="s">
        <v>38</v>
      </c>
      <c r="J17" s="1">
        <v>25</v>
      </c>
      <c r="K17" s="1"/>
      <c r="L17" s="1"/>
      <c r="M17" s="1" t="s">
        <v>171</v>
      </c>
      <c r="N17" s="1">
        <v>360</v>
      </c>
      <c r="O17" s="1" t="s">
        <v>100</v>
      </c>
      <c r="P17" s="1" t="s">
        <v>20</v>
      </c>
      <c r="Q17" s="1" t="s">
        <v>1428</v>
      </c>
      <c r="R17" s="1" t="s">
        <v>936</v>
      </c>
      <c r="S17" s="6">
        <f>(E17*附件!$B$30+附件!$C$30)/G17</f>
        <v>116.5691056910569</v>
      </c>
      <c r="T17" s="6">
        <f t="shared" si="0"/>
        <v>5547.6809295341982</v>
      </c>
    </row>
    <row r="18" spans="1:20" ht="17.25" customHeight="1" x14ac:dyDescent="0.2">
      <c r="A18" s="22" t="s">
        <v>215</v>
      </c>
      <c r="B18" s="1" t="s">
        <v>215</v>
      </c>
      <c r="C18" s="1" t="s">
        <v>26</v>
      </c>
      <c r="D18" s="1">
        <v>25</v>
      </c>
      <c r="E18" s="1">
        <v>62</v>
      </c>
      <c r="F18" s="1">
        <v>1</v>
      </c>
      <c r="G18" s="1">
        <v>0.79</v>
      </c>
      <c r="H18" s="1">
        <v>28</v>
      </c>
      <c r="I18" s="1" t="s">
        <v>38</v>
      </c>
      <c r="J18" s="1">
        <v>25</v>
      </c>
      <c r="K18" s="1"/>
      <c r="L18" s="1"/>
      <c r="M18" s="1" t="s">
        <v>171</v>
      </c>
      <c r="N18" s="1">
        <v>360</v>
      </c>
      <c r="O18" s="1" t="s">
        <v>100</v>
      </c>
      <c r="P18" s="1" t="s">
        <v>24</v>
      </c>
      <c r="Q18" s="1" t="s">
        <v>1435</v>
      </c>
      <c r="R18" s="1" t="s">
        <v>956</v>
      </c>
      <c r="S18" s="6">
        <f>(E18*附件!$B$30+附件!$C$30)/G18</f>
        <v>96.556962025316452</v>
      </c>
      <c r="T18" s="6">
        <f t="shared" si="0"/>
        <v>5264.6951753040503</v>
      </c>
    </row>
    <row r="19" spans="1:20" ht="17.25" customHeight="1" x14ac:dyDescent="0.2">
      <c r="A19" s="22" t="s">
        <v>174</v>
      </c>
      <c r="B19" s="1" t="s">
        <v>174</v>
      </c>
      <c r="C19" s="1" t="s">
        <v>26</v>
      </c>
      <c r="D19" s="1">
        <v>25</v>
      </c>
      <c r="E19" s="1">
        <v>63</v>
      </c>
      <c r="F19" s="1">
        <v>1.34</v>
      </c>
      <c r="G19" s="1">
        <v>1.06</v>
      </c>
      <c r="H19" s="1">
        <v>32</v>
      </c>
      <c r="I19" s="1" t="s">
        <v>38</v>
      </c>
      <c r="J19" s="1">
        <v>25</v>
      </c>
      <c r="K19" s="1"/>
      <c r="L19" s="1"/>
      <c r="M19" s="1" t="s">
        <v>171</v>
      </c>
      <c r="N19" s="1">
        <v>360</v>
      </c>
      <c r="O19" s="1" t="s">
        <v>100</v>
      </c>
      <c r="P19" s="1" t="s">
        <v>20</v>
      </c>
      <c r="Q19" s="1" t="s">
        <v>1417</v>
      </c>
      <c r="R19" s="1" t="s">
        <v>886</v>
      </c>
      <c r="S19" s="6">
        <f>(E19*附件!$B$30+附件!$C$30)/G19</f>
        <v>73.113207547169807</v>
      </c>
      <c r="T19" s="6">
        <f t="shared" si="0"/>
        <v>4679.2452830188658</v>
      </c>
    </row>
    <row r="20" spans="1:20" ht="17.25" customHeight="1" x14ac:dyDescent="0.2">
      <c r="A20" s="22" t="s">
        <v>199</v>
      </c>
      <c r="B20" s="1" t="s">
        <v>199</v>
      </c>
      <c r="C20" s="6" t="s">
        <v>26</v>
      </c>
      <c r="D20" s="1">
        <v>22</v>
      </c>
      <c r="E20" s="1">
        <v>54</v>
      </c>
      <c r="F20" s="1">
        <v>1.1100000000000001</v>
      </c>
      <c r="G20" s="1">
        <v>0.88</v>
      </c>
      <c r="H20" s="1">
        <v>30</v>
      </c>
      <c r="I20" s="1" t="s">
        <v>38</v>
      </c>
      <c r="J20" s="1">
        <v>25</v>
      </c>
      <c r="K20" s="1"/>
      <c r="L20" s="1"/>
      <c r="M20" s="1" t="s">
        <v>171</v>
      </c>
      <c r="N20" s="1">
        <v>360</v>
      </c>
      <c r="O20" s="1" t="s">
        <v>100</v>
      </c>
      <c r="P20" s="1" t="s">
        <v>20</v>
      </c>
      <c r="Q20" s="1" t="s">
        <v>1426</v>
      </c>
      <c r="R20" s="1" t="s">
        <v>918</v>
      </c>
      <c r="S20" s="6">
        <f>(E20*附件!$B$30+附件!$C$30)/G20</f>
        <v>75.590909090909079</v>
      </c>
      <c r="T20" s="6">
        <f t="shared" si="0"/>
        <v>4477.2884426499613</v>
      </c>
    </row>
    <row r="21" spans="1:20" ht="17.25" customHeight="1" x14ac:dyDescent="0.2">
      <c r="A21" s="22" t="s">
        <v>919</v>
      </c>
      <c r="B21" s="1" t="s">
        <v>919</v>
      </c>
      <c r="C21" s="6" t="s">
        <v>22</v>
      </c>
      <c r="D21" s="1">
        <v>34</v>
      </c>
      <c r="E21" s="1">
        <v>61</v>
      </c>
      <c r="F21" s="1">
        <v>1.24</v>
      </c>
      <c r="G21" s="1">
        <v>1.08</v>
      </c>
      <c r="H21" s="1">
        <v>31</v>
      </c>
      <c r="I21" s="1" t="s">
        <v>38</v>
      </c>
      <c r="J21" s="1">
        <v>12</v>
      </c>
      <c r="K21" s="1"/>
      <c r="L21" s="1"/>
      <c r="M21" s="1" t="s">
        <v>171</v>
      </c>
      <c r="N21" s="1">
        <v>360</v>
      </c>
      <c r="O21" s="1" t="s">
        <v>100</v>
      </c>
      <c r="P21" s="1"/>
      <c r="Q21" s="1"/>
      <c r="R21" s="1" t="s">
        <v>920</v>
      </c>
      <c r="S21" s="6">
        <f>(E21*附件!$B$30+附件!$C$30)/G21</f>
        <v>69.5</v>
      </c>
      <c r="T21" s="6">
        <f t="shared" si="0"/>
        <v>4281.7256559245752</v>
      </c>
    </row>
    <row r="22" spans="1:20" ht="17.25" customHeight="1" x14ac:dyDescent="0.2">
      <c r="A22" s="22" t="s">
        <v>927</v>
      </c>
      <c r="B22" s="1" t="s">
        <v>927</v>
      </c>
      <c r="C22" s="1" t="s">
        <v>22</v>
      </c>
      <c r="D22" s="1">
        <v>33</v>
      </c>
      <c r="E22" s="1">
        <v>64</v>
      </c>
      <c r="F22" s="1">
        <v>1.41</v>
      </c>
      <c r="G22" s="1">
        <v>1.24</v>
      </c>
      <c r="H22" s="1">
        <v>33</v>
      </c>
      <c r="I22" s="1" t="s">
        <v>38</v>
      </c>
      <c r="J22" s="1">
        <v>12</v>
      </c>
      <c r="K22" s="1"/>
      <c r="L22" s="1"/>
      <c r="M22" s="1" t="s">
        <v>171</v>
      </c>
      <c r="N22" s="1">
        <v>360</v>
      </c>
      <c r="O22" s="1" t="s">
        <v>100</v>
      </c>
      <c r="P22" s="1"/>
      <c r="Q22" s="1" t="s">
        <v>856</v>
      </c>
      <c r="R22" s="1" t="s">
        <v>928</v>
      </c>
      <c r="S22" s="6">
        <f>(E22*附件!$B$30+附件!$C$30)/G22</f>
        <v>63.483870967741936</v>
      </c>
      <c r="T22" s="6">
        <f t="shared" si="0"/>
        <v>4215.8012483872399</v>
      </c>
    </row>
    <row r="23" spans="1:20" ht="17.25" customHeight="1" x14ac:dyDescent="0.2">
      <c r="A23" s="22" t="s">
        <v>211</v>
      </c>
      <c r="B23" s="1" t="s">
        <v>211</v>
      </c>
      <c r="C23" s="1" t="s">
        <v>26</v>
      </c>
      <c r="D23" s="1">
        <v>20</v>
      </c>
      <c r="E23" s="1">
        <v>50</v>
      </c>
      <c r="F23" s="1">
        <v>1</v>
      </c>
      <c r="G23" s="1">
        <v>0.63</v>
      </c>
      <c r="H23" s="1">
        <v>23</v>
      </c>
      <c r="I23" s="1" t="s">
        <v>38</v>
      </c>
      <c r="J23" s="1">
        <v>25</v>
      </c>
      <c r="K23" s="1"/>
      <c r="L23" s="1"/>
      <c r="M23" s="1" t="s">
        <v>171</v>
      </c>
      <c r="N23" s="1">
        <v>360</v>
      </c>
      <c r="O23" s="1" t="s">
        <v>100</v>
      </c>
      <c r="P23" s="1" t="s">
        <v>65</v>
      </c>
      <c r="Q23" s="1" t="s">
        <v>1433</v>
      </c>
      <c r="R23" s="1" t="s">
        <v>946</v>
      </c>
      <c r="S23" s="6">
        <f>(E23*附件!$B$30+附件!$C$30)/G23</f>
        <v>97.841269841269835</v>
      </c>
      <c r="T23" s="6">
        <f t="shared" si="0"/>
        <v>4213.0390428289393</v>
      </c>
    </row>
    <row r="24" spans="1:20" ht="17.25" customHeight="1" x14ac:dyDescent="0.2">
      <c r="A24" s="22" t="s">
        <v>217</v>
      </c>
      <c r="B24" s="1" t="s">
        <v>217</v>
      </c>
      <c r="C24" s="6" t="s">
        <v>22</v>
      </c>
      <c r="D24" s="1">
        <v>38</v>
      </c>
      <c r="E24" s="1">
        <v>75</v>
      </c>
      <c r="F24" s="1">
        <v>1.89</v>
      </c>
      <c r="G24" s="1">
        <v>1.66</v>
      </c>
      <c r="H24" s="1">
        <v>35</v>
      </c>
      <c r="I24" s="1" t="s">
        <v>38</v>
      </c>
      <c r="J24" s="1">
        <v>12</v>
      </c>
      <c r="K24" s="1"/>
      <c r="L24" s="1"/>
      <c r="M24" s="1" t="s">
        <v>171</v>
      </c>
      <c r="N24" s="1">
        <v>360</v>
      </c>
      <c r="O24" s="1" t="s">
        <v>100</v>
      </c>
      <c r="P24" s="1" t="s">
        <v>20</v>
      </c>
      <c r="Q24" s="1"/>
      <c r="R24" s="1" t="s">
        <v>958</v>
      </c>
      <c r="S24" s="6">
        <f>(E24*附件!$B$30+附件!$C$30)/G24</f>
        <v>55.506024096385545</v>
      </c>
      <c r="T24" s="6">
        <f t="shared" si="0"/>
        <v>3955.6856615450702</v>
      </c>
    </row>
    <row r="25" spans="1:20" ht="17.25" customHeight="1" x14ac:dyDescent="0.2">
      <c r="A25" s="22" t="s">
        <v>180</v>
      </c>
      <c r="B25" s="1" t="s">
        <v>180</v>
      </c>
      <c r="C25" s="1" t="s">
        <v>22</v>
      </c>
      <c r="D25" s="1">
        <v>39</v>
      </c>
      <c r="E25" s="1">
        <v>77</v>
      </c>
      <c r="F25" s="1">
        <v>2</v>
      </c>
      <c r="G25" s="1">
        <v>1.76</v>
      </c>
      <c r="H25" s="1">
        <v>35</v>
      </c>
      <c r="I25" s="1" t="s">
        <v>38</v>
      </c>
      <c r="J25" s="1">
        <v>12</v>
      </c>
      <c r="K25" s="1"/>
      <c r="L25" s="1"/>
      <c r="M25" s="1" t="s">
        <v>171</v>
      </c>
      <c r="N25" s="1">
        <v>360</v>
      </c>
      <c r="O25" s="1" t="s">
        <v>100</v>
      </c>
      <c r="P25" s="1" t="s">
        <v>21</v>
      </c>
      <c r="Q25" s="1"/>
      <c r="R25" s="1" t="s">
        <v>891</v>
      </c>
      <c r="S25" s="6">
        <f>(E25*附件!$B$30+附件!$C$30)/G25</f>
        <v>53.73863636363636</v>
      </c>
      <c r="T25" s="6">
        <f t="shared" si="0"/>
        <v>3829.7312191824462</v>
      </c>
    </row>
    <row r="26" spans="1:20" ht="17.25" customHeight="1" x14ac:dyDescent="0.2">
      <c r="A26" s="22" t="s">
        <v>880</v>
      </c>
      <c r="B26" s="1" t="s">
        <v>880</v>
      </c>
      <c r="C26" s="1" t="s">
        <v>22</v>
      </c>
      <c r="D26" s="1">
        <v>35</v>
      </c>
      <c r="E26" s="1">
        <v>70</v>
      </c>
      <c r="F26" s="1">
        <v>1.76</v>
      </c>
      <c r="G26" s="1">
        <v>1.56</v>
      </c>
      <c r="H26" s="1">
        <v>34</v>
      </c>
      <c r="I26" s="1" t="s">
        <v>38</v>
      </c>
      <c r="J26" s="1">
        <v>12</v>
      </c>
      <c r="K26" s="1"/>
      <c r="L26" s="1"/>
      <c r="M26" s="1" t="s">
        <v>171</v>
      </c>
      <c r="N26" s="1">
        <v>360</v>
      </c>
      <c r="O26" s="1" t="s">
        <v>100</v>
      </c>
      <c r="P26" s="1"/>
      <c r="Q26" s="1"/>
      <c r="R26" s="1" t="s">
        <v>881</v>
      </c>
      <c r="S26" s="6">
        <f>(E26*附件!$B$30+附件!$C$30)/G26</f>
        <v>55.153846153846146</v>
      </c>
      <c r="T26" s="6">
        <f t="shared" si="0"/>
        <v>3796.2124033315517</v>
      </c>
    </row>
    <row r="27" spans="1:20" ht="17.25" customHeight="1" x14ac:dyDescent="0.2">
      <c r="A27" s="22" t="s">
        <v>187</v>
      </c>
      <c r="B27" s="1" t="s">
        <v>187</v>
      </c>
      <c r="C27" s="6" t="s">
        <v>26</v>
      </c>
      <c r="D27" s="1">
        <v>22</v>
      </c>
      <c r="E27" s="1">
        <v>54</v>
      </c>
      <c r="F27" s="1">
        <v>0.79</v>
      </c>
      <c r="G27" s="1">
        <v>0.64</v>
      </c>
      <c r="H27" s="1">
        <v>20</v>
      </c>
      <c r="I27" s="1" t="s">
        <v>38</v>
      </c>
      <c r="J27" s="1">
        <v>25</v>
      </c>
      <c r="K27" s="1"/>
      <c r="L27" s="1"/>
      <c r="M27" s="1" t="s">
        <v>171</v>
      </c>
      <c r="N27" s="1">
        <v>360</v>
      </c>
      <c r="O27" s="1" t="s">
        <v>100</v>
      </c>
      <c r="P27" s="1" t="s">
        <v>21</v>
      </c>
      <c r="Q27" s="1" t="s">
        <v>1421</v>
      </c>
      <c r="R27" s="1" t="s">
        <v>898</v>
      </c>
      <c r="S27" s="6">
        <f>(E27*附件!$B$30+附件!$C$30)/G27</f>
        <v>103.93749999999999</v>
      </c>
      <c r="T27" s="6">
        <f t="shared" si="0"/>
        <v>3784.4978370404629</v>
      </c>
    </row>
    <row r="28" spans="1:20" ht="17.25" customHeight="1" x14ac:dyDescent="0.2">
      <c r="A28" s="22" t="s">
        <v>206</v>
      </c>
      <c r="B28" s="1" t="s">
        <v>206</v>
      </c>
      <c r="C28" s="1" t="s">
        <v>22</v>
      </c>
      <c r="D28" s="1">
        <v>34</v>
      </c>
      <c r="E28" s="1">
        <v>68</v>
      </c>
      <c r="F28" s="1">
        <v>1.7</v>
      </c>
      <c r="G28" s="1">
        <v>1.5</v>
      </c>
      <c r="H28" s="1">
        <v>32</v>
      </c>
      <c r="I28" s="1" t="s">
        <v>38</v>
      </c>
      <c r="J28" s="1">
        <v>12</v>
      </c>
      <c r="K28" s="1"/>
      <c r="L28" s="1"/>
      <c r="M28" s="1" t="s">
        <v>171</v>
      </c>
      <c r="N28" s="1">
        <v>360</v>
      </c>
      <c r="O28" s="1" t="s">
        <v>100</v>
      </c>
      <c r="P28" s="1" t="s">
        <v>65</v>
      </c>
      <c r="Q28" s="1"/>
      <c r="R28" s="1" t="s">
        <v>941</v>
      </c>
      <c r="S28" s="6">
        <f>(E28*附件!$B$30+附件!$C$30)/G28</f>
        <v>55.733333333333327</v>
      </c>
      <c r="T28" s="6">
        <f t="shared" si="0"/>
        <v>3566.9333333333316</v>
      </c>
    </row>
    <row r="29" spans="1:20" ht="17.25" customHeight="1" x14ac:dyDescent="0.2">
      <c r="A29" s="22" t="s">
        <v>912</v>
      </c>
      <c r="B29" s="1" t="s">
        <v>912</v>
      </c>
      <c r="C29" s="1" t="s">
        <v>26</v>
      </c>
      <c r="D29" s="1">
        <v>14</v>
      </c>
      <c r="E29" s="1">
        <v>44</v>
      </c>
      <c r="F29" s="1">
        <v>0.96</v>
      </c>
      <c r="G29" s="1">
        <v>0.76</v>
      </c>
      <c r="H29" s="1">
        <v>26</v>
      </c>
      <c r="I29" s="1" t="s">
        <v>38</v>
      </c>
      <c r="J29" s="1">
        <v>25</v>
      </c>
      <c r="K29" s="1"/>
      <c r="L29" s="1"/>
      <c r="M29" s="1" t="s">
        <v>171</v>
      </c>
      <c r="N29" s="1">
        <v>360</v>
      </c>
      <c r="O29" s="1" t="s">
        <v>100</v>
      </c>
      <c r="P29" s="1"/>
      <c r="Q29" s="1" t="s">
        <v>1425</v>
      </c>
      <c r="R29" s="1" t="s">
        <v>913</v>
      </c>
      <c r="S29" s="6">
        <f>(E29*附件!$B$30+附件!$C$30)/G29</f>
        <v>71.473684210526315</v>
      </c>
      <c r="T29" s="6">
        <f t="shared" si="0"/>
        <v>3565.4486539950694</v>
      </c>
    </row>
    <row r="30" spans="1:20" ht="17.25" customHeight="1" x14ac:dyDescent="0.2">
      <c r="A30" s="22" t="s">
        <v>951</v>
      </c>
      <c r="B30" s="1" t="s">
        <v>951</v>
      </c>
      <c r="C30" s="6" t="s">
        <v>26</v>
      </c>
      <c r="D30" s="1">
        <v>25</v>
      </c>
      <c r="E30" s="1">
        <v>50</v>
      </c>
      <c r="F30" s="1">
        <v>1</v>
      </c>
      <c r="G30" s="1">
        <v>0.8</v>
      </c>
      <c r="H30" s="1">
        <v>24</v>
      </c>
      <c r="I30" s="1" t="s">
        <v>38</v>
      </c>
      <c r="J30" s="1">
        <v>25</v>
      </c>
      <c r="K30" s="1"/>
      <c r="L30" s="1"/>
      <c r="M30" s="1" t="s">
        <v>171</v>
      </c>
      <c r="N30" s="1">
        <v>360</v>
      </c>
      <c r="O30" s="1" t="s">
        <v>100</v>
      </c>
      <c r="P30" s="1"/>
      <c r="Q30" s="1" t="s">
        <v>1434</v>
      </c>
      <c r="R30" s="1" t="s">
        <v>952</v>
      </c>
      <c r="S30" s="6">
        <f>(E30*附件!$B$30+附件!$C$30)/G30</f>
        <v>77.05</v>
      </c>
      <c r="T30" s="6">
        <f t="shared" si="0"/>
        <v>3491.6132517730653</v>
      </c>
    </row>
    <row r="31" spans="1:20" ht="17.25" customHeight="1" x14ac:dyDescent="0.2">
      <c r="A31" s="22" t="s">
        <v>931</v>
      </c>
      <c r="B31" s="1" t="s">
        <v>931</v>
      </c>
      <c r="C31" s="1" t="s">
        <v>22</v>
      </c>
      <c r="D31" s="1">
        <v>36</v>
      </c>
      <c r="E31" s="1">
        <v>73</v>
      </c>
      <c r="F31" s="1">
        <v>1.9</v>
      </c>
      <c r="G31" s="1">
        <v>1.67</v>
      </c>
      <c r="H31" s="1">
        <v>32</v>
      </c>
      <c r="I31" s="1" t="s">
        <v>38</v>
      </c>
      <c r="J31" s="1">
        <v>12</v>
      </c>
      <c r="K31" s="1"/>
      <c r="L31" s="1"/>
      <c r="M31" s="1" t="s">
        <v>171</v>
      </c>
      <c r="N31" s="1">
        <v>360</v>
      </c>
      <c r="O31" s="1" t="s">
        <v>100</v>
      </c>
      <c r="P31" s="1"/>
      <c r="Q31" s="1" t="s">
        <v>868</v>
      </c>
      <c r="R31" s="1" t="s">
        <v>932</v>
      </c>
      <c r="S31" s="6">
        <f>(E31*附件!$B$30+附件!$C$30)/G31</f>
        <v>53.712574850299404</v>
      </c>
      <c r="T31" s="6">
        <f t="shared" si="0"/>
        <v>3437.6047904191605</v>
      </c>
    </row>
    <row r="32" spans="1:20" ht="17.25" customHeight="1" x14ac:dyDescent="0.2">
      <c r="A32" s="22" t="s">
        <v>205</v>
      </c>
      <c r="B32" s="1" t="s">
        <v>205</v>
      </c>
      <c r="C32" s="1" t="s">
        <v>26</v>
      </c>
      <c r="D32" s="1">
        <v>18</v>
      </c>
      <c r="E32" s="1">
        <v>45</v>
      </c>
      <c r="F32" s="1">
        <v>0.65</v>
      </c>
      <c r="G32" s="1">
        <v>0.52</v>
      </c>
      <c r="H32" s="1">
        <v>18</v>
      </c>
      <c r="I32" s="1" t="s">
        <v>38</v>
      </c>
      <c r="J32" s="1">
        <v>25</v>
      </c>
      <c r="K32" s="1"/>
      <c r="L32" s="1"/>
      <c r="M32" s="1" t="s">
        <v>171</v>
      </c>
      <c r="N32" s="1">
        <v>360</v>
      </c>
      <c r="O32" s="1" t="s">
        <v>100</v>
      </c>
      <c r="P32" s="1" t="s">
        <v>24</v>
      </c>
      <c r="Q32" s="1" t="s">
        <v>1430</v>
      </c>
      <c r="R32" s="1" t="s">
        <v>940</v>
      </c>
      <c r="S32" s="6">
        <f>(E32*附件!$B$30+附件!$C$30)/G32</f>
        <v>106.80769230769231</v>
      </c>
      <c r="T32" s="6">
        <f t="shared" si="0"/>
        <v>3427.1217870726391</v>
      </c>
    </row>
    <row r="33" spans="1:20" ht="17.25" customHeight="1" x14ac:dyDescent="0.2">
      <c r="A33" s="22" t="s">
        <v>200</v>
      </c>
      <c r="B33" s="1" t="s">
        <v>200</v>
      </c>
      <c r="C33" s="6" t="s">
        <v>22</v>
      </c>
      <c r="D33" s="1">
        <v>42</v>
      </c>
      <c r="E33" s="1">
        <v>80</v>
      </c>
      <c r="F33" s="1">
        <v>1.61</v>
      </c>
      <c r="G33" s="1">
        <v>1.42</v>
      </c>
      <c r="H33" s="1">
        <v>25</v>
      </c>
      <c r="I33" s="1" t="s">
        <v>38</v>
      </c>
      <c r="J33" s="1">
        <v>12</v>
      </c>
      <c r="K33" s="1"/>
      <c r="L33" s="1"/>
      <c r="M33" s="1" t="s">
        <v>171</v>
      </c>
      <c r="N33" s="1">
        <v>360</v>
      </c>
      <c r="O33" s="1" t="s">
        <v>100</v>
      </c>
      <c r="P33" s="1" t="s">
        <v>20</v>
      </c>
      <c r="Q33" s="1"/>
      <c r="R33" s="1" t="s">
        <v>935</v>
      </c>
      <c r="S33" s="6">
        <f>(E33*附件!$B$30+附件!$C$30)/G33</f>
        <v>69.183098591549296</v>
      </c>
      <c r="T33" s="6">
        <f t="shared" si="0"/>
        <v>3292.5169531592928</v>
      </c>
    </row>
    <row r="34" spans="1:20" ht="17.25" customHeight="1" x14ac:dyDescent="0.2">
      <c r="A34" s="22" t="s">
        <v>214</v>
      </c>
      <c r="B34" s="1" t="s">
        <v>214</v>
      </c>
      <c r="C34" s="1" t="s">
        <v>22</v>
      </c>
      <c r="D34" s="1">
        <v>23</v>
      </c>
      <c r="E34" s="1">
        <v>45</v>
      </c>
      <c r="F34" s="1">
        <v>1.05</v>
      </c>
      <c r="G34" s="1">
        <v>0.92</v>
      </c>
      <c r="H34" s="1">
        <v>28</v>
      </c>
      <c r="I34" s="1" t="s">
        <v>38</v>
      </c>
      <c r="J34" s="1">
        <v>12</v>
      </c>
      <c r="K34" s="1"/>
      <c r="L34" s="1"/>
      <c r="M34" s="1" t="s">
        <v>171</v>
      </c>
      <c r="N34" s="1">
        <v>360</v>
      </c>
      <c r="O34" s="1" t="s">
        <v>100</v>
      </c>
      <c r="P34" s="1" t="s">
        <v>24</v>
      </c>
      <c r="Q34" s="1"/>
      <c r="R34" s="1" t="s">
        <v>955</v>
      </c>
      <c r="S34" s="6">
        <f>(E34*附件!$B$30+附件!$C$30)/G34</f>
        <v>60.369565217391298</v>
      </c>
      <c r="T34" s="6">
        <f t="shared" ref="T34:T65" si="1">S34*H34^1.2</f>
        <v>3291.6047902570863</v>
      </c>
    </row>
    <row r="35" spans="1:20" ht="17.25" customHeight="1" x14ac:dyDescent="0.2">
      <c r="A35" s="22" t="s">
        <v>222</v>
      </c>
      <c r="B35" s="1" t="s">
        <v>222</v>
      </c>
      <c r="C35" s="6" t="s">
        <v>22</v>
      </c>
      <c r="D35" s="1">
        <v>23</v>
      </c>
      <c r="E35" s="1">
        <v>45</v>
      </c>
      <c r="F35" s="1">
        <v>1</v>
      </c>
      <c r="G35" s="1">
        <v>0.88</v>
      </c>
      <c r="H35" s="1">
        <v>25</v>
      </c>
      <c r="I35" s="1" t="s">
        <v>38</v>
      </c>
      <c r="J35" s="1">
        <v>12</v>
      </c>
      <c r="K35" s="1"/>
      <c r="L35" s="1"/>
      <c r="M35" s="1" t="s">
        <v>171</v>
      </c>
      <c r="N35" s="1">
        <v>360</v>
      </c>
      <c r="O35" s="1" t="s">
        <v>100</v>
      </c>
      <c r="P35" s="1" t="s">
        <v>20</v>
      </c>
      <c r="Q35" s="1" t="s">
        <v>1438</v>
      </c>
      <c r="R35" s="1" t="s">
        <v>965</v>
      </c>
      <c r="S35" s="6">
        <f>(E35*附件!$B$30+附件!$C$30)/G35</f>
        <v>63.11363636363636</v>
      </c>
      <c r="T35" s="6">
        <f t="shared" si="1"/>
        <v>3003.6630612579502</v>
      </c>
    </row>
    <row r="36" spans="1:20" ht="17.25" customHeight="1" x14ac:dyDescent="0.2">
      <c r="A36" s="22" t="s">
        <v>190</v>
      </c>
      <c r="B36" s="1" t="s">
        <v>190</v>
      </c>
      <c r="C36" s="1" t="s">
        <v>26</v>
      </c>
      <c r="D36" s="1">
        <v>16</v>
      </c>
      <c r="E36" s="1">
        <v>40</v>
      </c>
      <c r="F36" s="1">
        <v>0.76</v>
      </c>
      <c r="G36" s="1">
        <v>0.61</v>
      </c>
      <c r="H36" s="1">
        <v>20</v>
      </c>
      <c r="I36" s="1" t="s">
        <v>38</v>
      </c>
      <c r="J36" s="1">
        <v>25</v>
      </c>
      <c r="K36" s="1"/>
      <c r="L36" s="1"/>
      <c r="M36" s="1" t="s">
        <v>171</v>
      </c>
      <c r="N36" s="1">
        <v>360</v>
      </c>
      <c r="O36" s="1" t="s">
        <v>100</v>
      </c>
      <c r="P36" s="1" t="s">
        <v>21</v>
      </c>
      <c r="Q36" s="1" t="s">
        <v>1422</v>
      </c>
      <c r="R36" s="1" t="s">
        <v>901</v>
      </c>
      <c r="S36" s="6">
        <f>(E36*附件!$B$30+附件!$C$30)/G36</f>
        <v>81.049180327868854</v>
      </c>
      <c r="T36" s="6">
        <f t="shared" si="1"/>
        <v>2951.1047277904718</v>
      </c>
    </row>
    <row r="37" spans="1:20" ht="17.25" customHeight="1" x14ac:dyDescent="0.2">
      <c r="A37" s="22" t="s">
        <v>173</v>
      </c>
      <c r="B37" s="1" t="s">
        <v>173</v>
      </c>
      <c r="C37" s="6" t="s">
        <v>22</v>
      </c>
      <c r="D37" s="1">
        <v>21</v>
      </c>
      <c r="E37" s="1">
        <v>42</v>
      </c>
      <c r="F37" s="1">
        <v>1.41</v>
      </c>
      <c r="G37" s="1">
        <v>1.24</v>
      </c>
      <c r="H37" s="1">
        <v>32</v>
      </c>
      <c r="I37" s="1" t="s">
        <v>38</v>
      </c>
      <c r="J37" s="1">
        <v>12</v>
      </c>
      <c r="K37" s="1"/>
      <c r="L37" s="1"/>
      <c r="M37" s="1" t="s">
        <v>171</v>
      </c>
      <c r="N37" s="1">
        <v>360</v>
      </c>
      <c r="O37" s="1" t="s">
        <v>100</v>
      </c>
      <c r="P37" s="1" t="s">
        <v>20</v>
      </c>
      <c r="Q37" s="1"/>
      <c r="R37" s="1" t="s">
        <v>885</v>
      </c>
      <c r="S37" s="6">
        <f>(E37*附件!$B$30+附件!$C$30)/G37</f>
        <v>41.838709677419359</v>
      </c>
      <c r="T37" s="6">
        <f t="shared" si="1"/>
        <v>2677.6774193548381</v>
      </c>
    </row>
    <row r="38" spans="1:20" ht="17.25" customHeight="1" x14ac:dyDescent="0.2">
      <c r="A38" s="22" t="s">
        <v>216</v>
      </c>
      <c r="B38" s="1" t="s">
        <v>216</v>
      </c>
      <c r="C38" s="6" t="s">
        <v>22</v>
      </c>
      <c r="D38" s="1">
        <v>22</v>
      </c>
      <c r="E38" s="1">
        <v>44</v>
      </c>
      <c r="F38" s="1">
        <v>1.48</v>
      </c>
      <c r="G38" s="1">
        <v>1.3</v>
      </c>
      <c r="H38" s="1">
        <v>32</v>
      </c>
      <c r="I38" s="1" t="s">
        <v>38</v>
      </c>
      <c r="J38" s="1">
        <v>12</v>
      </c>
      <c r="K38" s="1"/>
      <c r="L38" s="1"/>
      <c r="M38" s="1" t="s">
        <v>171</v>
      </c>
      <c r="N38" s="1">
        <v>360</v>
      </c>
      <c r="O38" s="1" t="s">
        <v>100</v>
      </c>
      <c r="P38" s="1" t="s">
        <v>158</v>
      </c>
      <c r="Q38" s="1" t="s">
        <v>1365</v>
      </c>
      <c r="R38" s="1" t="s">
        <v>957</v>
      </c>
      <c r="S38" s="6">
        <f>(E38*附件!$B$30+附件!$C$30)/G38</f>
        <v>41.784615384615385</v>
      </c>
      <c r="T38" s="6">
        <f t="shared" si="1"/>
        <v>2674.2153846153838</v>
      </c>
    </row>
    <row r="39" spans="1:20" ht="17.25" customHeight="1" x14ac:dyDescent="0.2">
      <c r="A39" s="22" t="s">
        <v>198</v>
      </c>
      <c r="B39" s="1" t="s">
        <v>198</v>
      </c>
      <c r="C39" s="1" t="s">
        <v>22</v>
      </c>
      <c r="D39" s="1">
        <v>18</v>
      </c>
      <c r="E39" s="1">
        <v>36</v>
      </c>
      <c r="F39" s="1">
        <v>1.1599999999999999</v>
      </c>
      <c r="G39" s="1">
        <v>1.02</v>
      </c>
      <c r="H39" s="1">
        <v>30</v>
      </c>
      <c r="I39" s="1" t="s">
        <v>38</v>
      </c>
      <c r="J39" s="1">
        <v>12</v>
      </c>
      <c r="K39" s="1"/>
      <c r="L39" s="1"/>
      <c r="M39" s="1" t="s">
        <v>171</v>
      </c>
      <c r="N39" s="1">
        <v>360</v>
      </c>
      <c r="O39" s="1" t="s">
        <v>100</v>
      </c>
      <c r="P39" s="1" t="s">
        <v>20</v>
      </c>
      <c r="Q39" s="1"/>
      <c r="R39" s="1" t="s">
        <v>917</v>
      </c>
      <c r="S39" s="6">
        <f>(E39*附件!$B$30+附件!$C$30)/G39</f>
        <v>43.686274509803923</v>
      </c>
      <c r="T39" s="6">
        <f t="shared" si="1"/>
        <v>2587.5605190823408</v>
      </c>
    </row>
    <row r="40" spans="1:20" ht="17.25" customHeight="1" x14ac:dyDescent="0.2">
      <c r="A40" s="22" t="s">
        <v>186</v>
      </c>
      <c r="B40" s="1" t="s">
        <v>186</v>
      </c>
      <c r="C40" s="1" t="s">
        <v>22</v>
      </c>
      <c r="D40" s="1">
        <v>18</v>
      </c>
      <c r="E40" s="1">
        <v>36</v>
      </c>
      <c r="F40" s="1">
        <v>0.84</v>
      </c>
      <c r="G40" s="1">
        <v>0.73</v>
      </c>
      <c r="H40" s="1">
        <v>20</v>
      </c>
      <c r="I40" s="1" t="s">
        <v>38</v>
      </c>
      <c r="J40" s="1">
        <v>12</v>
      </c>
      <c r="K40" s="1"/>
      <c r="L40" s="1"/>
      <c r="M40" s="1" t="s">
        <v>171</v>
      </c>
      <c r="N40" s="1">
        <v>360</v>
      </c>
      <c r="O40" s="1" t="s">
        <v>100</v>
      </c>
      <c r="P40" s="1" t="s">
        <v>21</v>
      </c>
      <c r="Q40" s="1"/>
      <c r="R40" s="1" t="s">
        <v>897</v>
      </c>
      <c r="S40" s="6">
        <f>(E40*附件!$B$30+附件!$C$30)/G40</f>
        <v>61.041095890410965</v>
      </c>
      <c r="T40" s="6">
        <f t="shared" si="1"/>
        <v>2222.5846818312912</v>
      </c>
    </row>
    <row r="41" spans="1:20" ht="17.25" customHeight="1" x14ac:dyDescent="0.2">
      <c r="A41" s="22" t="s">
        <v>179</v>
      </c>
      <c r="B41" s="1" t="s">
        <v>179</v>
      </c>
      <c r="C41" s="1" t="s">
        <v>17</v>
      </c>
      <c r="D41" s="1">
        <v>32</v>
      </c>
      <c r="E41" s="1">
        <v>47</v>
      </c>
      <c r="F41" s="1">
        <v>2.09</v>
      </c>
      <c r="G41" s="1">
        <v>1.97</v>
      </c>
      <c r="H41" s="1">
        <v>35</v>
      </c>
      <c r="I41" s="1" t="s">
        <v>38</v>
      </c>
      <c r="J41" s="1">
        <v>5</v>
      </c>
      <c r="K41" s="1"/>
      <c r="L41" s="1"/>
      <c r="M41" s="1" t="s">
        <v>171</v>
      </c>
      <c r="N41" s="1">
        <v>360</v>
      </c>
      <c r="O41" s="1" t="s">
        <v>100</v>
      </c>
      <c r="P41" s="1" t="s">
        <v>21</v>
      </c>
      <c r="Q41" s="1"/>
      <c r="R41" s="1" t="s">
        <v>890</v>
      </c>
      <c r="S41" s="6">
        <f>(E41*附件!$B$30+附件!$C$30)/G41</f>
        <v>29.431472081218274</v>
      </c>
      <c r="T41" s="6">
        <f t="shared" si="1"/>
        <v>2097.4597623435316</v>
      </c>
    </row>
    <row r="42" spans="1:20" ht="17.25" customHeight="1" x14ac:dyDescent="0.2">
      <c r="A42" s="22" t="s">
        <v>949</v>
      </c>
      <c r="B42" s="1" t="s">
        <v>949</v>
      </c>
      <c r="C42" s="6" t="s">
        <v>22</v>
      </c>
      <c r="D42" s="1">
        <v>17</v>
      </c>
      <c r="E42" s="1">
        <v>34</v>
      </c>
      <c r="F42" s="1">
        <v>1.06</v>
      </c>
      <c r="G42" s="1">
        <v>0.93</v>
      </c>
      <c r="H42" s="1">
        <v>24</v>
      </c>
      <c r="I42" s="1" t="s">
        <v>38</v>
      </c>
      <c r="J42" s="1">
        <v>12</v>
      </c>
      <c r="K42" s="1"/>
      <c r="L42" s="1"/>
      <c r="M42" s="1" t="s">
        <v>171</v>
      </c>
      <c r="N42" s="1">
        <v>360</v>
      </c>
      <c r="O42" s="1" t="s">
        <v>100</v>
      </c>
      <c r="P42" s="1"/>
      <c r="Q42" s="1" t="s">
        <v>866</v>
      </c>
      <c r="R42" s="1" t="s">
        <v>950</v>
      </c>
      <c r="S42" s="6">
        <f>(E42*附件!$B$30+附件!$C$30)/G42</f>
        <v>45.290322580645153</v>
      </c>
      <c r="T42" s="6">
        <f t="shared" si="1"/>
        <v>2052.3853406834201</v>
      </c>
    </row>
    <row r="43" spans="1:20" ht="17.25" customHeight="1" x14ac:dyDescent="0.2">
      <c r="A43" s="22" t="s">
        <v>196</v>
      </c>
      <c r="B43" s="1" t="s">
        <v>196</v>
      </c>
      <c r="C43" s="1" t="s">
        <v>22</v>
      </c>
      <c r="D43" s="1">
        <v>12</v>
      </c>
      <c r="E43" s="1">
        <v>24</v>
      </c>
      <c r="F43" s="1">
        <v>0.72</v>
      </c>
      <c r="G43" s="1">
        <v>0.63</v>
      </c>
      <c r="H43" s="1">
        <v>23</v>
      </c>
      <c r="I43" s="1" t="s">
        <v>38</v>
      </c>
      <c r="J43" s="1">
        <v>12</v>
      </c>
      <c r="K43" s="1"/>
      <c r="L43" s="1"/>
      <c r="M43" s="1" t="s">
        <v>171</v>
      </c>
      <c r="N43" s="1">
        <v>360</v>
      </c>
      <c r="O43" s="1" t="s">
        <v>100</v>
      </c>
      <c r="P43" s="1" t="s">
        <v>65</v>
      </c>
      <c r="Q43" s="1" t="s">
        <v>1424</v>
      </c>
      <c r="R43" s="1" t="s">
        <v>907</v>
      </c>
      <c r="S43" s="6">
        <f>(E43*附件!$B$30+附件!$C$30)/G43</f>
        <v>47.492063492063494</v>
      </c>
      <c r="T43" s="6">
        <f t="shared" si="1"/>
        <v>2045.005323839096</v>
      </c>
    </row>
    <row r="44" spans="1:20" ht="17.25" customHeight="1" x14ac:dyDescent="0.2">
      <c r="A44" s="22" t="s">
        <v>204</v>
      </c>
      <c r="B44" s="1" t="s">
        <v>204</v>
      </c>
      <c r="C44" s="6" t="s">
        <v>22</v>
      </c>
      <c r="D44" s="1">
        <v>15</v>
      </c>
      <c r="E44" s="1">
        <v>30</v>
      </c>
      <c r="F44" s="1">
        <v>0.68</v>
      </c>
      <c r="G44" s="1">
        <v>0.6</v>
      </c>
      <c r="H44" s="1">
        <v>18</v>
      </c>
      <c r="I44" s="1" t="s">
        <v>38</v>
      </c>
      <c r="J44" s="1">
        <v>12</v>
      </c>
      <c r="K44" s="1"/>
      <c r="L44" s="1"/>
      <c r="M44" s="1" t="s">
        <v>171</v>
      </c>
      <c r="N44" s="1">
        <v>360</v>
      </c>
      <c r="O44" s="1" t="s">
        <v>100</v>
      </c>
      <c r="P44" s="1" t="s">
        <v>24</v>
      </c>
      <c r="Q44" s="1"/>
      <c r="R44" s="1" t="s">
        <v>939</v>
      </c>
      <c r="S44" s="6">
        <f>(E44*附件!$B$30+附件!$C$30)/G44</f>
        <v>62.06666666666667</v>
      </c>
      <c r="T44" s="6">
        <f t="shared" si="1"/>
        <v>1991.5234660396184</v>
      </c>
    </row>
    <row r="45" spans="1:20" ht="17.25" customHeight="1" x14ac:dyDescent="0.2">
      <c r="A45" s="22" t="s">
        <v>210</v>
      </c>
      <c r="B45" s="1" t="s">
        <v>210</v>
      </c>
      <c r="C45" s="1" t="s">
        <v>22</v>
      </c>
      <c r="D45" s="1">
        <v>17</v>
      </c>
      <c r="E45" s="1">
        <v>34</v>
      </c>
      <c r="F45" s="1">
        <v>1.05</v>
      </c>
      <c r="G45" s="1">
        <v>0.92</v>
      </c>
      <c r="H45" s="1">
        <v>23</v>
      </c>
      <c r="I45" s="1" t="s">
        <v>38</v>
      </c>
      <c r="J45" s="1">
        <v>12</v>
      </c>
      <c r="K45" s="1"/>
      <c r="L45" s="1"/>
      <c r="M45" s="1" t="s">
        <v>171</v>
      </c>
      <c r="N45" s="1">
        <v>360</v>
      </c>
      <c r="O45" s="1" t="s">
        <v>100</v>
      </c>
      <c r="P45" s="1" t="s">
        <v>65</v>
      </c>
      <c r="Q45" s="1"/>
      <c r="R45" s="1" t="s">
        <v>945</v>
      </c>
      <c r="S45" s="6">
        <f>(E45*附件!$B$30+附件!$C$30)/G45</f>
        <v>45.782608695652172</v>
      </c>
      <c r="T45" s="6">
        <f t="shared" si="1"/>
        <v>1971.3963057742644</v>
      </c>
    </row>
    <row r="46" spans="1:20" ht="17.25" customHeight="1" x14ac:dyDescent="0.2">
      <c r="A46" s="22" t="s">
        <v>910</v>
      </c>
      <c r="B46" s="1" t="s">
        <v>910</v>
      </c>
      <c r="C46" s="1" t="s">
        <v>22</v>
      </c>
      <c r="D46" s="1">
        <v>11</v>
      </c>
      <c r="E46" s="1">
        <v>28</v>
      </c>
      <c r="F46" s="1">
        <v>1.02</v>
      </c>
      <c r="G46" s="1">
        <v>0.89</v>
      </c>
      <c r="H46" s="1">
        <v>26</v>
      </c>
      <c r="I46" s="1" t="s">
        <v>38</v>
      </c>
      <c r="J46" s="1">
        <v>12</v>
      </c>
      <c r="K46" s="1"/>
      <c r="L46" s="1"/>
      <c r="M46" s="1" t="s">
        <v>171</v>
      </c>
      <c r="N46" s="1">
        <v>360</v>
      </c>
      <c r="O46" s="1" t="s">
        <v>100</v>
      </c>
      <c r="P46" s="1"/>
      <c r="Q46" s="1" t="s">
        <v>854</v>
      </c>
      <c r="R46" s="1" t="s">
        <v>911</v>
      </c>
      <c r="S46" s="6">
        <f>(E46*附件!$B$30+附件!$C$30)/G46</f>
        <v>39.101123595505612</v>
      </c>
      <c r="T46" s="6">
        <f t="shared" si="1"/>
        <v>1950.5507521152549</v>
      </c>
    </row>
    <row r="47" spans="1:20" ht="17.25" customHeight="1" x14ac:dyDescent="0.2">
      <c r="A47" s="22" t="s">
        <v>213</v>
      </c>
      <c r="B47" s="1" t="s">
        <v>213</v>
      </c>
      <c r="C47" s="1" t="s">
        <v>17</v>
      </c>
      <c r="D47" s="1">
        <v>19</v>
      </c>
      <c r="E47" s="1">
        <v>29</v>
      </c>
      <c r="F47" s="1">
        <v>1</v>
      </c>
      <c r="G47" s="1">
        <v>1.04</v>
      </c>
      <c r="H47" s="1">
        <v>28</v>
      </c>
      <c r="I47" s="1" t="s">
        <v>38</v>
      </c>
      <c r="J47" s="1">
        <v>5</v>
      </c>
      <c r="K47" s="1"/>
      <c r="L47" s="1"/>
      <c r="M47" s="1" t="s">
        <v>171</v>
      </c>
      <c r="N47" s="1">
        <v>360</v>
      </c>
      <c r="O47" s="1" t="s">
        <v>100</v>
      </c>
      <c r="P47" s="1" t="s">
        <v>24</v>
      </c>
      <c r="Q47" s="1"/>
      <c r="R47" s="1" t="s">
        <v>954</v>
      </c>
      <c r="S47" s="6">
        <f>(E47*附件!$B$30+附件!$C$30)/G47</f>
        <v>34.634615384615387</v>
      </c>
      <c r="T47" s="6">
        <f t="shared" si="1"/>
        <v>1888.4261547716035</v>
      </c>
    </row>
    <row r="48" spans="1:20" ht="17.25" customHeight="1" x14ac:dyDescent="0.2">
      <c r="A48" s="22" t="s">
        <v>189</v>
      </c>
      <c r="B48" s="1" t="s">
        <v>189</v>
      </c>
      <c r="C48" s="1" t="s">
        <v>22</v>
      </c>
      <c r="D48" s="1">
        <v>14</v>
      </c>
      <c r="E48" s="1">
        <v>28</v>
      </c>
      <c r="F48" s="1">
        <v>0.8</v>
      </c>
      <c r="G48" s="1">
        <v>0.7</v>
      </c>
      <c r="H48" s="1">
        <v>20</v>
      </c>
      <c r="I48" s="1" t="s">
        <v>38</v>
      </c>
      <c r="J48" s="1">
        <v>12</v>
      </c>
      <c r="K48" s="1"/>
      <c r="L48" s="1"/>
      <c r="M48" s="1" t="s">
        <v>171</v>
      </c>
      <c r="N48" s="1">
        <v>360</v>
      </c>
      <c r="O48" s="1" t="s">
        <v>100</v>
      </c>
      <c r="P48" s="1" t="s">
        <v>21</v>
      </c>
      <c r="Q48" s="1"/>
      <c r="R48" s="1" t="s">
        <v>900</v>
      </c>
      <c r="S48" s="6">
        <f>(E48*附件!$B$30+附件!$C$30)/G48</f>
        <v>49.714285714285715</v>
      </c>
      <c r="T48" s="6">
        <f t="shared" si="1"/>
        <v>1810.160979008788</v>
      </c>
    </row>
    <row r="49" spans="1:20" ht="17.25" customHeight="1" x14ac:dyDescent="0.2">
      <c r="A49" s="22" t="s">
        <v>193</v>
      </c>
      <c r="B49" s="1" t="s">
        <v>193</v>
      </c>
      <c r="C49" s="6" t="s">
        <v>22</v>
      </c>
      <c r="D49" s="1">
        <v>11</v>
      </c>
      <c r="E49" s="1">
        <v>21</v>
      </c>
      <c r="F49" s="1">
        <v>0.61</v>
      </c>
      <c r="G49" s="1">
        <v>0.53</v>
      </c>
      <c r="H49" s="1">
        <v>20</v>
      </c>
      <c r="I49" s="1" t="s">
        <v>38</v>
      </c>
      <c r="J49" s="1">
        <v>12</v>
      </c>
      <c r="K49" s="1"/>
      <c r="L49" s="1"/>
      <c r="M49" s="1" t="s">
        <v>171</v>
      </c>
      <c r="N49" s="1">
        <v>360</v>
      </c>
      <c r="O49" s="1" t="s">
        <v>100</v>
      </c>
      <c r="P49" s="1" t="s">
        <v>21</v>
      </c>
      <c r="Q49" s="1" t="s">
        <v>1423</v>
      </c>
      <c r="R49" s="1" t="s">
        <v>904</v>
      </c>
      <c r="S49" s="6">
        <f>(E49*附件!$B$30+附件!$C$30)/G49</f>
        <v>49.547169811320757</v>
      </c>
      <c r="T49" s="6">
        <f t="shared" si="1"/>
        <v>1804.0760743949002</v>
      </c>
    </row>
    <row r="50" spans="1:20" ht="17.25" customHeight="1" x14ac:dyDescent="0.2">
      <c r="A50" s="22" t="s">
        <v>221</v>
      </c>
      <c r="B50" s="1" t="s">
        <v>221</v>
      </c>
      <c r="C50" s="1" t="s">
        <v>17</v>
      </c>
      <c r="D50" s="1">
        <v>19</v>
      </c>
      <c r="E50" s="1">
        <v>29</v>
      </c>
      <c r="F50" s="1">
        <v>1.05</v>
      </c>
      <c r="G50" s="1">
        <v>0.98</v>
      </c>
      <c r="H50" s="1">
        <v>25</v>
      </c>
      <c r="I50" s="1" t="s">
        <v>38</v>
      </c>
      <c r="J50" s="1">
        <v>5</v>
      </c>
      <c r="K50" s="1"/>
      <c r="L50" s="1"/>
      <c r="M50" s="1" t="s">
        <v>171</v>
      </c>
      <c r="N50" s="1">
        <v>360</v>
      </c>
      <c r="O50" s="1" t="s">
        <v>100</v>
      </c>
      <c r="P50" s="1" t="s">
        <v>20</v>
      </c>
      <c r="Q50" s="1"/>
      <c r="R50" s="1" t="s">
        <v>964</v>
      </c>
      <c r="S50" s="6">
        <f>(E50*附件!$B$30+附件!$C$30)/G50</f>
        <v>36.755102040816332</v>
      </c>
      <c r="T50" s="6">
        <f t="shared" si="1"/>
        <v>1749.2248691976001</v>
      </c>
    </row>
    <row r="51" spans="1:20" ht="17.25" customHeight="1" x14ac:dyDescent="0.2">
      <c r="A51" s="22" t="s">
        <v>184</v>
      </c>
      <c r="B51" s="1" t="s">
        <v>184</v>
      </c>
      <c r="C51" s="1" t="s">
        <v>22</v>
      </c>
      <c r="D51" s="1">
        <v>11</v>
      </c>
      <c r="E51" s="1">
        <v>20</v>
      </c>
      <c r="F51" s="1">
        <v>0.54</v>
      </c>
      <c r="G51" s="1">
        <v>0.47</v>
      </c>
      <c r="H51" s="1">
        <v>18</v>
      </c>
      <c r="I51" s="1" t="s">
        <v>38</v>
      </c>
      <c r="J51" s="1">
        <v>12</v>
      </c>
      <c r="K51" s="1"/>
      <c r="L51" s="1"/>
      <c r="M51" s="1" t="s">
        <v>171</v>
      </c>
      <c r="N51" s="1">
        <v>360</v>
      </c>
      <c r="O51" s="1" t="s">
        <v>100</v>
      </c>
      <c r="P51" s="1" t="s">
        <v>24</v>
      </c>
      <c r="Q51" s="1" t="s">
        <v>1420</v>
      </c>
      <c r="R51" s="1" t="s">
        <v>895</v>
      </c>
      <c r="S51" s="6">
        <f>(E51*附件!$B$30+附件!$C$30)/G51</f>
        <v>53.276595744680854</v>
      </c>
      <c r="T51" s="6">
        <f t="shared" si="1"/>
        <v>1709.4778294775251</v>
      </c>
    </row>
    <row r="52" spans="1:20" ht="17.25" customHeight="1" x14ac:dyDescent="0.2">
      <c r="A52" s="22" t="s">
        <v>172</v>
      </c>
      <c r="B52" s="1" t="s">
        <v>172</v>
      </c>
      <c r="C52" s="1" t="s">
        <v>17</v>
      </c>
      <c r="D52" s="1">
        <v>19</v>
      </c>
      <c r="E52" s="1">
        <v>28</v>
      </c>
      <c r="F52" s="1">
        <v>1.48</v>
      </c>
      <c r="G52" s="1">
        <v>1.39</v>
      </c>
      <c r="H52" s="1">
        <v>32</v>
      </c>
      <c r="I52" s="1" t="s">
        <v>38</v>
      </c>
      <c r="J52" s="1">
        <v>5</v>
      </c>
      <c r="K52" s="1"/>
      <c r="L52" s="1"/>
      <c r="M52" s="1" t="s">
        <v>171</v>
      </c>
      <c r="N52" s="1">
        <v>360</v>
      </c>
      <c r="O52" s="1" t="s">
        <v>100</v>
      </c>
      <c r="P52" s="1" t="s">
        <v>20</v>
      </c>
      <c r="Q52" s="1"/>
      <c r="R52" s="1" t="s">
        <v>884</v>
      </c>
      <c r="S52" s="6">
        <f>(E52*附件!$B$30+附件!$C$30)/G52</f>
        <v>25.035971223021583</v>
      </c>
      <c r="T52" s="6">
        <f t="shared" si="1"/>
        <v>1602.3021582733809</v>
      </c>
    </row>
    <row r="53" spans="1:20" ht="17.25" customHeight="1" x14ac:dyDescent="0.2">
      <c r="A53" s="22" t="s">
        <v>197</v>
      </c>
      <c r="B53" s="1" t="s">
        <v>197</v>
      </c>
      <c r="C53" s="6" t="s">
        <v>17</v>
      </c>
      <c r="D53" s="1">
        <v>16</v>
      </c>
      <c r="E53" s="1">
        <v>24</v>
      </c>
      <c r="F53" s="1">
        <v>1.22</v>
      </c>
      <c r="G53" s="1">
        <v>1.1599999999999999</v>
      </c>
      <c r="H53" s="1">
        <v>30</v>
      </c>
      <c r="I53" s="1" t="s">
        <v>38</v>
      </c>
      <c r="J53" s="1">
        <v>5</v>
      </c>
      <c r="K53" s="1"/>
      <c r="L53" s="1"/>
      <c r="M53" s="1" t="s">
        <v>171</v>
      </c>
      <c r="N53" s="1">
        <v>360</v>
      </c>
      <c r="O53" s="1" t="s">
        <v>100</v>
      </c>
      <c r="P53" s="1" t="s">
        <v>20</v>
      </c>
      <c r="Q53" s="1"/>
      <c r="R53" s="1" t="s">
        <v>914</v>
      </c>
      <c r="S53" s="6">
        <f>(E53*附件!$B$30+附件!$C$30)/G53</f>
        <v>25.793103448275865</v>
      </c>
      <c r="T53" s="6">
        <f t="shared" si="1"/>
        <v>1527.7387897287367</v>
      </c>
    </row>
    <row r="54" spans="1:20" ht="17.25" customHeight="1" x14ac:dyDescent="0.2">
      <c r="A54" s="22" t="s">
        <v>915</v>
      </c>
      <c r="B54" s="1" t="s">
        <v>915</v>
      </c>
      <c r="C54" s="1" t="s">
        <v>17</v>
      </c>
      <c r="D54" s="1">
        <v>16</v>
      </c>
      <c r="E54" s="1">
        <v>24</v>
      </c>
      <c r="F54" s="1">
        <v>1.22</v>
      </c>
      <c r="G54" s="1">
        <v>1.1599999999999999</v>
      </c>
      <c r="H54" s="1">
        <v>30</v>
      </c>
      <c r="I54" s="1" t="s">
        <v>38</v>
      </c>
      <c r="J54" s="1">
        <v>5</v>
      </c>
      <c r="K54" s="1"/>
      <c r="L54" s="1"/>
      <c r="M54" s="1" t="s">
        <v>171</v>
      </c>
      <c r="N54" s="1">
        <v>360</v>
      </c>
      <c r="O54" s="1" t="s">
        <v>100</v>
      </c>
      <c r="P54" s="1"/>
      <c r="Q54" s="1"/>
      <c r="R54" s="1" t="s">
        <v>916</v>
      </c>
      <c r="S54" s="6">
        <f>(E54*附件!$B$30+附件!$C$30)/G54</f>
        <v>25.793103448275865</v>
      </c>
      <c r="T54" s="6">
        <f t="shared" si="1"/>
        <v>1527.7387897287367</v>
      </c>
    </row>
    <row r="55" spans="1:20" ht="17.25" customHeight="1" x14ac:dyDescent="0.2">
      <c r="A55" s="22" t="s">
        <v>178</v>
      </c>
      <c r="B55" s="1" t="s">
        <v>178</v>
      </c>
      <c r="C55" s="1" t="s">
        <v>22</v>
      </c>
      <c r="D55" s="1">
        <v>8</v>
      </c>
      <c r="E55" s="1">
        <v>15</v>
      </c>
      <c r="F55" s="1">
        <v>0.38</v>
      </c>
      <c r="G55" s="1">
        <v>0.33</v>
      </c>
      <c r="H55" s="1">
        <v>15</v>
      </c>
      <c r="I55" s="1" t="s">
        <v>38</v>
      </c>
      <c r="J55" s="1">
        <v>12</v>
      </c>
      <c r="K55" s="1"/>
      <c r="L55" s="1"/>
      <c r="M55" s="1" t="s">
        <v>171</v>
      </c>
      <c r="N55" s="1">
        <v>360</v>
      </c>
      <c r="O55" s="1" t="s">
        <v>100</v>
      </c>
      <c r="P55" s="1" t="s">
        <v>176</v>
      </c>
      <c r="Q55" s="1" t="s">
        <v>1418</v>
      </c>
      <c r="R55" s="1" t="s">
        <v>889</v>
      </c>
      <c r="S55" s="6">
        <f>(E55*附件!$B$30+附件!$C$30)/G55</f>
        <v>57.393939393939398</v>
      </c>
      <c r="T55" s="6">
        <f t="shared" si="1"/>
        <v>1479.7063776594023</v>
      </c>
    </row>
    <row r="56" spans="1:20" ht="17.25" customHeight="1" x14ac:dyDescent="0.2">
      <c r="A56" s="22" t="s">
        <v>185</v>
      </c>
      <c r="B56" s="1" t="s">
        <v>185</v>
      </c>
      <c r="C56" s="1" t="s">
        <v>17</v>
      </c>
      <c r="D56" s="1">
        <v>16</v>
      </c>
      <c r="E56" s="1">
        <v>24</v>
      </c>
      <c r="F56" s="1">
        <v>0.88</v>
      </c>
      <c r="G56" s="1">
        <v>0.82</v>
      </c>
      <c r="H56" s="1">
        <v>20</v>
      </c>
      <c r="I56" s="1" t="s">
        <v>38</v>
      </c>
      <c r="J56" s="1">
        <v>5</v>
      </c>
      <c r="K56" s="1"/>
      <c r="L56" s="1"/>
      <c r="M56" s="1" t="s">
        <v>171</v>
      </c>
      <c r="N56" s="1">
        <v>360</v>
      </c>
      <c r="O56" s="1" t="s">
        <v>100</v>
      </c>
      <c r="P56" s="1" t="s">
        <v>21</v>
      </c>
      <c r="Q56" s="1"/>
      <c r="R56" s="1" t="s">
        <v>896</v>
      </c>
      <c r="S56" s="6">
        <f>(E56*附件!$B$30+附件!$C$30)/G56</f>
        <v>36.487804878048784</v>
      </c>
      <c r="T56" s="6">
        <f t="shared" si="1"/>
        <v>1328.5678281595199</v>
      </c>
    </row>
    <row r="57" spans="1:20" ht="17.25" customHeight="1" x14ac:dyDescent="0.2">
      <c r="A57" s="22" t="s">
        <v>925</v>
      </c>
      <c r="B57" s="1" t="s">
        <v>925</v>
      </c>
      <c r="C57" s="1" t="s">
        <v>17</v>
      </c>
      <c r="D57" s="1">
        <v>14</v>
      </c>
      <c r="E57" s="1">
        <v>22</v>
      </c>
      <c r="F57" s="1">
        <v>1.48</v>
      </c>
      <c r="G57" s="1">
        <v>1.39</v>
      </c>
      <c r="H57" s="1">
        <v>33</v>
      </c>
      <c r="I57" s="1" t="s">
        <v>38</v>
      </c>
      <c r="J57" s="1">
        <v>5</v>
      </c>
      <c r="K57" s="1"/>
      <c r="L57" s="1"/>
      <c r="M57" s="1" t="s">
        <v>171</v>
      </c>
      <c r="N57" s="1">
        <v>360</v>
      </c>
      <c r="O57" s="1" t="s">
        <v>100</v>
      </c>
      <c r="P57" s="1"/>
      <c r="Q57" s="1"/>
      <c r="R57" s="1" t="s">
        <v>926</v>
      </c>
      <c r="S57" s="6">
        <f>(E57*附件!$B$30+附件!$C$30)/G57</f>
        <v>19.769784172661872</v>
      </c>
      <c r="T57" s="6">
        <f t="shared" si="1"/>
        <v>1312.8607239121345</v>
      </c>
    </row>
    <row r="58" spans="1:20" ht="17.25" customHeight="1" x14ac:dyDescent="0.2">
      <c r="A58" s="22" t="s">
        <v>195</v>
      </c>
      <c r="B58" s="1" t="s">
        <v>195</v>
      </c>
      <c r="C58" s="1" t="s">
        <v>17</v>
      </c>
      <c r="D58" s="1">
        <v>11</v>
      </c>
      <c r="E58" s="1">
        <v>16</v>
      </c>
      <c r="F58" s="1">
        <v>0.75</v>
      </c>
      <c r="G58" s="1">
        <v>0.7</v>
      </c>
      <c r="H58" s="1">
        <v>23</v>
      </c>
      <c r="I58" s="1" t="s">
        <v>38</v>
      </c>
      <c r="J58" s="1">
        <v>5</v>
      </c>
      <c r="K58" s="1"/>
      <c r="L58" s="1"/>
      <c r="M58" s="1" t="s">
        <v>171</v>
      </c>
      <c r="N58" s="1">
        <v>360</v>
      </c>
      <c r="O58" s="1" t="s">
        <v>100</v>
      </c>
      <c r="P58" s="1" t="s">
        <v>65</v>
      </c>
      <c r="Q58" s="1"/>
      <c r="R58" s="1" t="s">
        <v>906</v>
      </c>
      <c r="S58" s="6">
        <f>(E58*附件!$B$30+附件!$C$30)/G58</f>
        <v>28.8</v>
      </c>
      <c r="T58" s="6">
        <f t="shared" si="1"/>
        <v>1240.1262231195374</v>
      </c>
    </row>
    <row r="59" spans="1:20" ht="17.25" customHeight="1" x14ac:dyDescent="0.2">
      <c r="A59" s="22" t="s">
        <v>220</v>
      </c>
      <c r="B59" s="1" t="s">
        <v>220</v>
      </c>
      <c r="C59" s="1" t="s">
        <v>17</v>
      </c>
      <c r="D59" s="1">
        <v>14</v>
      </c>
      <c r="E59" s="1">
        <v>21</v>
      </c>
      <c r="F59" s="1">
        <v>1.1000000000000001</v>
      </c>
      <c r="G59" s="1">
        <v>1.04</v>
      </c>
      <c r="H59" s="1">
        <v>25</v>
      </c>
      <c r="I59" s="1" t="s">
        <v>38</v>
      </c>
      <c r="J59" s="1">
        <v>0</v>
      </c>
      <c r="K59" s="1"/>
      <c r="L59" s="1"/>
      <c r="M59" s="1" t="s">
        <v>171</v>
      </c>
      <c r="N59" s="1">
        <v>360</v>
      </c>
      <c r="O59" s="1" t="s">
        <v>100</v>
      </c>
      <c r="P59" s="1" t="s">
        <v>20</v>
      </c>
      <c r="Q59" s="1"/>
      <c r="R59" s="1" t="s">
        <v>963</v>
      </c>
      <c r="S59" s="6">
        <f>(E59*附件!$B$30+附件!$C$30)/G59</f>
        <v>25.25</v>
      </c>
      <c r="T59" s="6">
        <f t="shared" si="1"/>
        <v>1201.6815488143977</v>
      </c>
    </row>
    <row r="60" spans="1:20" ht="17.25" customHeight="1" x14ac:dyDescent="0.2">
      <c r="A60" s="22" t="s">
        <v>203</v>
      </c>
      <c r="B60" s="1" t="s">
        <v>203</v>
      </c>
      <c r="C60" s="1" t="s">
        <v>17</v>
      </c>
      <c r="D60" s="1">
        <v>14</v>
      </c>
      <c r="E60" s="1">
        <v>20</v>
      </c>
      <c r="F60" s="1">
        <v>0.71</v>
      </c>
      <c r="G60" s="1">
        <v>0.67</v>
      </c>
      <c r="H60" s="1">
        <v>18</v>
      </c>
      <c r="I60" s="1" t="s">
        <v>38</v>
      </c>
      <c r="J60" s="1">
        <v>5</v>
      </c>
      <c r="K60" s="1"/>
      <c r="L60" s="1"/>
      <c r="M60" s="1" t="s">
        <v>171</v>
      </c>
      <c r="N60" s="1">
        <v>360</v>
      </c>
      <c r="O60" s="1" t="s">
        <v>100</v>
      </c>
      <c r="P60" s="1" t="s">
        <v>24</v>
      </c>
      <c r="Q60" s="1"/>
      <c r="R60" s="1" t="s">
        <v>938</v>
      </c>
      <c r="S60" s="6">
        <f>(E60*附件!$B$30+附件!$C$30)/G60</f>
        <v>37.373134328358205</v>
      </c>
      <c r="T60" s="6">
        <f t="shared" si="1"/>
        <v>1199.1859400812489</v>
      </c>
    </row>
    <row r="61" spans="1:20" ht="17.25" customHeight="1" x14ac:dyDescent="0.2">
      <c r="A61" s="22" t="s">
        <v>947</v>
      </c>
      <c r="B61" s="1" t="s">
        <v>947</v>
      </c>
      <c r="C61" s="1" t="s">
        <v>17</v>
      </c>
      <c r="D61" s="1">
        <v>15</v>
      </c>
      <c r="E61" s="1">
        <v>22</v>
      </c>
      <c r="F61" s="1">
        <v>1.1100000000000001</v>
      </c>
      <c r="G61" s="1">
        <v>1.04</v>
      </c>
      <c r="H61" s="1">
        <v>24</v>
      </c>
      <c r="I61" s="1" t="s">
        <v>38</v>
      </c>
      <c r="J61" s="1">
        <v>5</v>
      </c>
      <c r="K61" s="1"/>
      <c r="L61" s="1"/>
      <c r="M61" s="1" t="s">
        <v>171</v>
      </c>
      <c r="N61" s="1">
        <v>360</v>
      </c>
      <c r="O61" s="1" t="s">
        <v>100</v>
      </c>
      <c r="P61" s="1"/>
      <c r="Q61" s="2"/>
      <c r="R61" s="1" t="s">
        <v>948</v>
      </c>
      <c r="S61" s="6">
        <f>(E61*附件!$B$30+附件!$C$30)/G61</f>
        <v>26.423076923076923</v>
      </c>
      <c r="T61" s="6">
        <f t="shared" si="1"/>
        <v>1197.3934527869494</v>
      </c>
    </row>
    <row r="62" spans="1:20" ht="17.25" customHeight="1" x14ac:dyDescent="0.2">
      <c r="A62" s="22" t="s">
        <v>209</v>
      </c>
      <c r="B62" s="1" t="s">
        <v>209</v>
      </c>
      <c r="C62" s="1" t="s">
        <v>17</v>
      </c>
      <c r="D62" s="1">
        <v>15</v>
      </c>
      <c r="E62" s="1">
        <v>22</v>
      </c>
      <c r="F62" s="1">
        <v>1.1000000000000001</v>
      </c>
      <c r="G62" s="1">
        <v>1.03</v>
      </c>
      <c r="H62" s="1">
        <v>23</v>
      </c>
      <c r="I62" s="1" t="s">
        <v>38</v>
      </c>
      <c r="J62" s="1">
        <v>5</v>
      </c>
      <c r="K62" s="1"/>
      <c r="L62" s="1"/>
      <c r="M62" s="1" t="s">
        <v>171</v>
      </c>
      <c r="N62" s="1">
        <v>360</v>
      </c>
      <c r="O62" s="1" t="s">
        <v>100</v>
      </c>
      <c r="P62" s="1" t="s">
        <v>65</v>
      </c>
      <c r="Q62" s="1"/>
      <c r="R62" s="1" t="s">
        <v>944</v>
      </c>
      <c r="S62" s="6">
        <f>(E62*附件!$B$30+附件!$C$30)/G62</f>
        <v>26.679611650485437</v>
      </c>
      <c r="T62" s="6">
        <f t="shared" si="1"/>
        <v>1148.8224316115457</v>
      </c>
    </row>
    <row r="63" spans="1:20" ht="17.25" customHeight="1" x14ac:dyDescent="0.2">
      <c r="A63" s="22" t="s">
        <v>188</v>
      </c>
      <c r="B63" s="1" t="s">
        <v>188</v>
      </c>
      <c r="C63" s="6" t="s">
        <v>17</v>
      </c>
      <c r="D63" s="1">
        <v>13</v>
      </c>
      <c r="E63" s="1">
        <v>19</v>
      </c>
      <c r="F63" s="1">
        <v>0.84</v>
      </c>
      <c r="G63" s="1">
        <v>0.78</v>
      </c>
      <c r="H63" s="1">
        <v>20</v>
      </c>
      <c r="I63" s="1" t="s">
        <v>38</v>
      </c>
      <c r="J63" s="1">
        <v>5</v>
      </c>
      <c r="K63" s="1"/>
      <c r="L63" s="1"/>
      <c r="M63" s="1" t="s">
        <v>171</v>
      </c>
      <c r="N63" s="1">
        <v>360</v>
      </c>
      <c r="O63" s="1" t="s">
        <v>100</v>
      </c>
      <c r="P63" s="1" t="s">
        <v>21</v>
      </c>
      <c r="Q63" s="1"/>
      <c r="R63" s="1" t="s">
        <v>899</v>
      </c>
      <c r="S63" s="6">
        <f>(E63*附件!$B$30+附件!$C$30)/G63</f>
        <v>30.538461538461537</v>
      </c>
      <c r="T63" s="6">
        <f t="shared" si="1"/>
        <v>1111.9445978482363</v>
      </c>
    </row>
    <row r="64" spans="1:20" ht="17.25" customHeight="1" x14ac:dyDescent="0.2">
      <c r="A64" s="22" t="s">
        <v>192</v>
      </c>
      <c r="B64" s="1" t="s">
        <v>192</v>
      </c>
      <c r="C64" s="1" t="s">
        <v>17</v>
      </c>
      <c r="D64" s="1">
        <v>9</v>
      </c>
      <c r="E64" s="1">
        <v>14</v>
      </c>
      <c r="F64" s="1">
        <v>0.63</v>
      </c>
      <c r="G64" s="1">
        <v>0.59</v>
      </c>
      <c r="H64" s="1">
        <v>20</v>
      </c>
      <c r="I64" s="1" t="s">
        <v>38</v>
      </c>
      <c r="J64" s="1">
        <v>5</v>
      </c>
      <c r="K64" s="1"/>
      <c r="L64" s="1"/>
      <c r="M64" s="1" t="s">
        <v>171</v>
      </c>
      <c r="N64" s="1">
        <v>360</v>
      </c>
      <c r="O64" s="1" t="s">
        <v>100</v>
      </c>
      <c r="P64" s="1" t="s">
        <v>21</v>
      </c>
      <c r="Q64" s="1"/>
      <c r="R64" s="1" t="s">
        <v>903</v>
      </c>
      <c r="S64" s="6">
        <f>(E64*附件!$B$30+附件!$C$30)/G64</f>
        <v>30.033898305084744</v>
      </c>
      <c r="T64" s="6">
        <f t="shared" si="1"/>
        <v>1093.5728026312586</v>
      </c>
    </row>
    <row r="65" spans="1:20" ht="17.25" customHeight="1" x14ac:dyDescent="0.2">
      <c r="A65" s="22" t="s">
        <v>183</v>
      </c>
      <c r="B65" s="1" t="s">
        <v>183</v>
      </c>
      <c r="C65" s="1" t="s">
        <v>17</v>
      </c>
      <c r="D65" s="1">
        <v>9</v>
      </c>
      <c r="E65" s="1">
        <v>14</v>
      </c>
      <c r="F65" s="1">
        <v>0.56999999999999995</v>
      </c>
      <c r="G65" s="1">
        <v>0.53</v>
      </c>
      <c r="H65" s="1">
        <v>18</v>
      </c>
      <c r="I65" s="1" t="s">
        <v>38</v>
      </c>
      <c r="J65" s="1">
        <v>5</v>
      </c>
      <c r="K65" s="1"/>
      <c r="L65" s="1"/>
      <c r="M65" s="1" t="s">
        <v>171</v>
      </c>
      <c r="N65" s="1">
        <v>360</v>
      </c>
      <c r="O65" s="1" t="s">
        <v>100</v>
      </c>
      <c r="P65" s="1" t="s">
        <v>24</v>
      </c>
      <c r="Q65" s="1"/>
      <c r="R65" s="1" t="s">
        <v>894</v>
      </c>
      <c r="S65" s="6">
        <f>(E65*附件!$B$30+附件!$C$30)/G65</f>
        <v>33.433962264150942</v>
      </c>
      <c r="T65" s="6">
        <f t="shared" si="1"/>
        <v>1072.7903396091249</v>
      </c>
    </row>
    <row r="66" spans="1:20" ht="17.25" customHeight="1" x14ac:dyDescent="0.2">
      <c r="A66" s="22" t="s">
        <v>908</v>
      </c>
      <c r="B66" s="1" t="s">
        <v>908</v>
      </c>
      <c r="C66" s="1" t="s">
        <v>17</v>
      </c>
      <c r="D66" s="1">
        <v>9</v>
      </c>
      <c r="E66" s="1">
        <v>16</v>
      </c>
      <c r="F66" s="1">
        <v>1.07</v>
      </c>
      <c r="G66" s="1">
        <v>1</v>
      </c>
      <c r="H66" s="1">
        <v>26</v>
      </c>
      <c r="I66" s="1" t="s">
        <v>38</v>
      </c>
      <c r="J66" s="1">
        <v>5</v>
      </c>
      <c r="K66" s="1"/>
      <c r="L66" s="1"/>
      <c r="M66" s="1" t="s">
        <v>171</v>
      </c>
      <c r="N66" s="1">
        <v>360</v>
      </c>
      <c r="O66" s="1" t="s">
        <v>100</v>
      </c>
      <c r="P66" s="1"/>
      <c r="Q66" s="1"/>
      <c r="R66" s="1" t="s">
        <v>909</v>
      </c>
      <c r="S66" s="6">
        <f>(E66*附件!$B$30+附件!$C$30)/G66</f>
        <v>20.16</v>
      </c>
      <c r="T66" s="6">
        <f t="shared" ref="T66:T71" si="2">S66*H66^1.2</f>
        <v>1005.6770636423206</v>
      </c>
    </row>
    <row r="67" spans="1:20" ht="17.25" customHeight="1" x14ac:dyDescent="0.2">
      <c r="A67" s="22" t="s">
        <v>177</v>
      </c>
      <c r="B67" s="1" t="s">
        <v>177</v>
      </c>
      <c r="C67" s="6" t="s">
        <v>17</v>
      </c>
      <c r="D67" s="1">
        <v>8</v>
      </c>
      <c r="E67" s="1">
        <v>11</v>
      </c>
      <c r="F67" s="1">
        <v>0.4</v>
      </c>
      <c r="G67" s="1">
        <v>0.37</v>
      </c>
      <c r="H67" s="1">
        <v>15</v>
      </c>
      <c r="I67" s="1" t="s">
        <v>38</v>
      </c>
      <c r="J67" s="1">
        <v>5</v>
      </c>
      <c r="K67" s="1"/>
      <c r="L67" s="1"/>
      <c r="M67" s="1" t="s">
        <v>171</v>
      </c>
      <c r="N67" s="1">
        <v>360</v>
      </c>
      <c r="O67" s="1" t="s">
        <v>100</v>
      </c>
      <c r="P67" s="1" t="s">
        <v>176</v>
      </c>
      <c r="Q67" s="1"/>
      <c r="R67" s="1" t="s">
        <v>888</v>
      </c>
      <c r="S67" s="6">
        <f>(E67*附件!$B$30+附件!$C$30)/G67</f>
        <v>38</v>
      </c>
      <c r="T67" s="6">
        <f t="shared" si="2"/>
        <v>979.69999872486301</v>
      </c>
    </row>
    <row r="68" spans="1:20" ht="17.25" customHeight="1" x14ac:dyDescent="0.2">
      <c r="A68" s="22" t="s">
        <v>182</v>
      </c>
      <c r="B68" s="1" t="s">
        <v>182</v>
      </c>
      <c r="C68" s="1" t="s">
        <v>17</v>
      </c>
      <c r="D68" s="1">
        <v>8</v>
      </c>
      <c r="E68" s="1">
        <v>12</v>
      </c>
      <c r="F68" s="1">
        <v>0.6</v>
      </c>
      <c r="G68" s="1">
        <v>0.55000000000000004</v>
      </c>
      <c r="H68" s="1">
        <v>18</v>
      </c>
      <c r="I68" s="1" t="s">
        <v>38</v>
      </c>
      <c r="J68" s="1">
        <v>0</v>
      </c>
      <c r="K68" s="1"/>
      <c r="L68" s="1"/>
      <c r="M68" s="1" t="s">
        <v>171</v>
      </c>
      <c r="N68" s="1">
        <v>360</v>
      </c>
      <c r="O68" s="1" t="s">
        <v>100</v>
      </c>
      <c r="P68" s="1" t="s">
        <v>24</v>
      </c>
      <c r="Q68" s="1"/>
      <c r="R68" s="1" t="s">
        <v>893</v>
      </c>
      <c r="S68" s="6">
        <f>(E68*附件!$B$30+附件!$C$30)/G68</f>
        <v>27.781818181818181</v>
      </c>
      <c r="T68" s="6">
        <f t="shared" si="2"/>
        <v>891.43087279812619</v>
      </c>
    </row>
    <row r="69" spans="1:20" ht="17.25" customHeight="1" x14ac:dyDescent="0.2">
      <c r="A69" s="22" t="s">
        <v>194</v>
      </c>
      <c r="B69" s="1" t="s">
        <v>194</v>
      </c>
      <c r="C69" s="1" t="s">
        <v>17</v>
      </c>
      <c r="D69" s="1">
        <v>8</v>
      </c>
      <c r="E69" s="1">
        <v>12</v>
      </c>
      <c r="F69" s="1">
        <v>0.78</v>
      </c>
      <c r="G69" s="1">
        <v>0.74</v>
      </c>
      <c r="H69" s="1">
        <v>23</v>
      </c>
      <c r="I69" s="1" t="s">
        <v>38</v>
      </c>
      <c r="J69" s="1">
        <v>0</v>
      </c>
      <c r="K69" s="1"/>
      <c r="L69" s="1"/>
      <c r="M69" s="1" t="s">
        <v>171</v>
      </c>
      <c r="N69" s="1">
        <v>360</v>
      </c>
      <c r="O69" s="1" t="s">
        <v>100</v>
      </c>
      <c r="P69" s="1" t="s">
        <v>65</v>
      </c>
      <c r="Q69" s="1"/>
      <c r="R69" s="1" t="s">
        <v>905</v>
      </c>
      <c r="S69" s="6">
        <f>(E69*附件!$B$30+附件!$C$30)/G69</f>
        <v>20.648648648648649</v>
      </c>
      <c r="T69" s="6">
        <f t="shared" si="2"/>
        <v>889.12953684621493</v>
      </c>
    </row>
    <row r="70" spans="1:20" ht="17.25" customHeight="1" x14ac:dyDescent="0.2">
      <c r="A70" s="22" t="s">
        <v>191</v>
      </c>
      <c r="B70" s="1" t="s">
        <v>191</v>
      </c>
      <c r="C70" s="6" t="s">
        <v>17</v>
      </c>
      <c r="D70" s="1">
        <v>8</v>
      </c>
      <c r="E70" s="1">
        <v>12</v>
      </c>
      <c r="F70" s="1">
        <v>0.67</v>
      </c>
      <c r="G70" s="1">
        <v>0.63</v>
      </c>
      <c r="H70" s="1">
        <v>20</v>
      </c>
      <c r="I70" s="1" t="s">
        <v>38</v>
      </c>
      <c r="J70" s="1">
        <v>0</v>
      </c>
      <c r="K70" s="1"/>
      <c r="L70" s="1"/>
      <c r="M70" s="1" t="s">
        <v>171</v>
      </c>
      <c r="N70" s="1">
        <v>360</v>
      </c>
      <c r="O70" s="1" t="s">
        <v>100</v>
      </c>
      <c r="P70" s="1" t="s">
        <v>21</v>
      </c>
      <c r="Q70" s="1"/>
      <c r="R70" s="1" t="s">
        <v>902</v>
      </c>
      <c r="S70" s="6">
        <f>(E70*附件!$B$30+附件!$C$30)/G70</f>
        <v>24.253968253968257</v>
      </c>
      <c r="T70" s="6">
        <f t="shared" si="2"/>
        <v>883.11812769011112</v>
      </c>
    </row>
    <row r="71" spans="1:20" ht="17.25" customHeight="1" x14ac:dyDescent="0.2">
      <c r="A71" s="22" t="s">
        <v>175</v>
      </c>
      <c r="B71" s="1" t="s">
        <v>175</v>
      </c>
      <c r="C71" s="1" t="s">
        <v>17</v>
      </c>
      <c r="D71" s="1">
        <v>6</v>
      </c>
      <c r="E71" s="1">
        <v>9</v>
      </c>
      <c r="F71" s="1">
        <v>0.42</v>
      </c>
      <c r="G71" s="1">
        <v>0.39</v>
      </c>
      <c r="H71" s="1">
        <v>15</v>
      </c>
      <c r="I71" s="1" t="s">
        <v>38</v>
      </c>
      <c r="J71" s="1">
        <v>0</v>
      </c>
      <c r="K71" s="1"/>
      <c r="L71" s="1"/>
      <c r="M71" s="1" t="s">
        <v>171</v>
      </c>
      <c r="N71" s="1">
        <v>360</v>
      </c>
      <c r="O71" s="1" t="s">
        <v>100</v>
      </c>
      <c r="P71" s="1" t="s">
        <v>176</v>
      </c>
      <c r="Q71" s="1"/>
      <c r="R71" s="1" t="s">
        <v>887</v>
      </c>
      <c r="S71" s="6">
        <f>(E71*附件!$B$30+附件!$C$30)/G71</f>
        <v>29.794871794871796</v>
      </c>
      <c r="T71" s="6">
        <f t="shared" si="2"/>
        <v>768.15883840640402</v>
      </c>
    </row>
    <row r="72" spans="1:20" ht="17.25" customHeight="1" x14ac:dyDescent="0.2">
      <c r="A72" s="23" t="s">
        <v>224</v>
      </c>
      <c r="B72" s="6" t="s">
        <v>224</v>
      </c>
      <c r="C72" s="6" t="s">
        <v>37</v>
      </c>
      <c r="D72" s="6">
        <v>38</v>
      </c>
      <c r="E72" s="6">
        <v>96</v>
      </c>
      <c r="F72" s="6">
        <v>1.1000000000000001</v>
      </c>
      <c r="G72" s="6">
        <v>0.87</v>
      </c>
      <c r="H72" s="6">
        <v>30</v>
      </c>
      <c r="I72" s="6" t="s">
        <v>38</v>
      </c>
      <c r="J72" s="6">
        <v>45</v>
      </c>
      <c r="K72" s="6">
        <v>5</v>
      </c>
      <c r="M72" s="6" t="s">
        <v>171</v>
      </c>
      <c r="N72" s="6">
        <v>360</v>
      </c>
      <c r="O72" s="6" t="s">
        <v>100</v>
      </c>
      <c r="P72" s="6" t="s">
        <v>158</v>
      </c>
      <c r="Q72" s="6" t="s">
        <v>1439</v>
      </c>
      <c r="R72" s="6" t="s">
        <v>967</v>
      </c>
    </row>
    <row r="73" spans="1:20" ht="17.25" customHeight="1" x14ac:dyDescent="0.2">
      <c r="A73" s="23" t="s">
        <v>225</v>
      </c>
      <c r="B73" s="6" t="s">
        <v>225</v>
      </c>
      <c r="C73" s="6" t="s">
        <v>22</v>
      </c>
      <c r="D73" s="6">
        <v>38</v>
      </c>
      <c r="E73" s="6">
        <v>76</v>
      </c>
      <c r="F73" s="6">
        <v>1.42</v>
      </c>
      <c r="G73" s="6">
        <v>1.26</v>
      </c>
      <c r="H73" s="6">
        <v>28</v>
      </c>
      <c r="I73" s="6" t="s">
        <v>38</v>
      </c>
      <c r="J73" s="6">
        <v>12</v>
      </c>
      <c r="M73" s="6" t="s">
        <v>171</v>
      </c>
      <c r="N73" s="6">
        <v>360</v>
      </c>
      <c r="O73" s="6" t="s">
        <v>100</v>
      </c>
      <c r="P73" s="6" t="s">
        <v>24</v>
      </c>
      <c r="R73" s="6" t="s">
        <v>968</v>
      </c>
    </row>
    <row r="74" spans="1:20" ht="17.25" customHeight="1" x14ac:dyDescent="0.2">
      <c r="A74" s="23" t="s">
        <v>226</v>
      </c>
      <c r="B74" s="6" t="s">
        <v>226</v>
      </c>
      <c r="C74" s="6" t="s">
        <v>26</v>
      </c>
      <c r="D74" s="6">
        <v>43</v>
      </c>
      <c r="E74" s="6">
        <v>108</v>
      </c>
      <c r="F74" s="6">
        <v>1.36</v>
      </c>
      <c r="G74" s="6">
        <v>1.0900000000000001</v>
      </c>
      <c r="H74" s="6">
        <v>28</v>
      </c>
      <c r="I74" s="6" t="s">
        <v>38</v>
      </c>
      <c r="J74" s="6">
        <v>25</v>
      </c>
      <c r="M74" s="6" t="s">
        <v>171</v>
      </c>
      <c r="N74" s="6">
        <v>360</v>
      </c>
      <c r="O74" s="6" t="s">
        <v>100</v>
      </c>
      <c r="P74" s="6" t="s">
        <v>24</v>
      </c>
      <c r="Q74" s="6" t="s">
        <v>1440</v>
      </c>
      <c r="R74" s="6" t="s">
        <v>969</v>
      </c>
    </row>
    <row r="75" spans="1:20" ht="17.25" customHeight="1" x14ac:dyDescent="0.2">
      <c r="A75" s="23" t="s">
        <v>227</v>
      </c>
      <c r="B75" s="6" t="s">
        <v>227</v>
      </c>
      <c r="C75" s="6" t="s">
        <v>37</v>
      </c>
      <c r="D75" s="6">
        <v>48</v>
      </c>
      <c r="E75" s="6">
        <v>120</v>
      </c>
      <c r="F75" s="6">
        <v>1.29</v>
      </c>
      <c r="G75" s="6">
        <v>1.04</v>
      </c>
      <c r="H75" s="6">
        <v>28</v>
      </c>
      <c r="I75" s="6" t="s">
        <v>38</v>
      </c>
      <c r="J75" s="6">
        <v>45</v>
      </c>
      <c r="M75" s="6" t="s">
        <v>171</v>
      </c>
      <c r="N75" s="6">
        <v>360</v>
      </c>
      <c r="O75" s="6" t="s">
        <v>100</v>
      </c>
      <c r="P75" s="6" t="s">
        <v>24</v>
      </c>
      <c r="Q75" s="6" t="s">
        <v>1441</v>
      </c>
      <c r="R75" s="6" t="s">
        <v>970</v>
      </c>
    </row>
    <row r="76" spans="1:20" ht="17.25" customHeight="1" x14ac:dyDescent="0.2">
      <c r="A76" s="23" t="s">
        <v>228</v>
      </c>
      <c r="B76" s="6" t="s">
        <v>228</v>
      </c>
      <c r="C76" s="6" t="s">
        <v>17</v>
      </c>
      <c r="D76" s="6">
        <v>17</v>
      </c>
      <c r="E76" s="6">
        <v>26</v>
      </c>
      <c r="F76" s="6">
        <v>0.99</v>
      </c>
      <c r="G76" s="6">
        <v>0.93</v>
      </c>
      <c r="H76" s="6">
        <v>18</v>
      </c>
      <c r="I76" s="6" t="s">
        <v>38</v>
      </c>
      <c r="J76" s="6">
        <v>0</v>
      </c>
      <c r="M76" s="6" t="s">
        <v>171</v>
      </c>
      <c r="N76" s="6">
        <v>360</v>
      </c>
      <c r="O76" s="6" t="s">
        <v>100</v>
      </c>
      <c r="P76" s="6" t="s">
        <v>65</v>
      </c>
      <c r="R76" s="6" t="s">
        <v>971</v>
      </c>
    </row>
    <row r="77" spans="1:20" ht="17.25" customHeight="1" x14ac:dyDescent="0.2">
      <c r="A77" s="23" t="s">
        <v>229</v>
      </c>
      <c r="B77" s="6" t="s">
        <v>229</v>
      </c>
      <c r="C77" s="6" t="s">
        <v>17</v>
      </c>
      <c r="D77" s="6">
        <v>20</v>
      </c>
      <c r="E77" s="6">
        <v>31</v>
      </c>
      <c r="F77" s="6">
        <v>0.94</v>
      </c>
      <c r="G77" s="6">
        <v>0.89</v>
      </c>
      <c r="H77" s="6">
        <v>18</v>
      </c>
      <c r="I77" s="6" t="s">
        <v>38</v>
      </c>
      <c r="J77" s="6">
        <v>5</v>
      </c>
      <c r="M77" s="6" t="s">
        <v>171</v>
      </c>
      <c r="N77" s="6">
        <v>360</v>
      </c>
      <c r="O77" s="6" t="s">
        <v>100</v>
      </c>
      <c r="P77" s="6" t="s">
        <v>65</v>
      </c>
      <c r="R77" s="6" t="s">
        <v>972</v>
      </c>
    </row>
    <row r="78" spans="1:20" ht="17.25" customHeight="1" x14ac:dyDescent="0.2">
      <c r="A78" s="23" t="s">
        <v>230</v>
      </c>
      <c r="B78" s="6" t="s">
        <v>230</v>
      </c>
      <c r="C78" s="6" t="s">
        <v>22</v>
      </c>
      <c r="D78" s="6">
        <v>23</v>
      </c>
      <c r="E78" s="6">
        <v>46</v>
      </c>
      <c r="F78" s="6">
        <v>0.9</v>
      </c>
      <c r="G78" s="6">
        <v>0.79</v>
      </c>
      <c r="H78" s="6">
        <v>18</v>
      </c>
      <c r="I78" s="6" t="s">
        <v>38</v>
      </c>
      <c r="J78" s="6">
        <v>12</v>
      </c>
      <c r="M78" s="6" t="s">
        <v>171</v>
      </c>
      <c r="N78" s="6">
        <v>360</v>
      </c>
      <c r="O78" s="6" t="s">
        <v>100</v>
      </c>
      <c r="P78" s="6" t="s">
        <v>65</v>
      </c>
      <c r="Q78" s="27">
        <v>43862</v>
      </c>
      <c r="R78" s="6" t="s">
        <v>973</v>
      </c>
    </row>
    <row r="79" spans="1:20" ht="17.25" customHeight="1" x14ac:dyDescent="0.2">
      <c r="A79" s="23" t="s">
        <v>231</v>
      </c>
      <c r="B79" s="6" t="s">
        <v>231</v>
      </c>
      <c r="C79" s="6" t="s">
        <v>17</v>
      </c>
      <c r="D79" s="6">
        <v>22</v>
      </c>
      <c r="E79" s="6">
        <v>34</v>
      </c>
      <c r="F79" s="6">
        <v>1.2</v>
      </c>
      <c r="G79" s="6">
        <v>1.1399999999999999</v>
      </c>
      <c r="H79" s="6">
        <v>21</v>
      </c>
      <c r="I79" s="6" t="s">
        <v>38</v>
      </c>
      <c r="J79" s="6">
        <v>5</v>
      </c>
      <c r="M79" s="6" t="s">
        <v>171</v>
      </c>
      <c r="N79" s="6">
        <v>360</v>
      </c>
      <c r="O79" s="6" t="s">
        <v>100</v>
      </c>
      <c r="P79" s="6" t="s">
        <v>24</v>
      </c>
      <c r="R79" s="6" t="s">
        <v>974</v>
      </c>
    </row>
    <row r="80" spans="1:20" ht="17.25" customHeight="1" x14ac:dyDescent="0.2">
      <c r="A80" s="23" t="s">
        <v>232</v>
      </c>
      <c r="B80" s="6" t="s">
        <v>232</v>
      </c>
      <c r="C80" s="6" t="s">
        <v>22</v>
      </c>
      <c r="D80" s="6">
        <v>25</v>
      </c>
      <c r="E80" s="6">
        <v>50</v>
      </c>
      <c r="F80" s="6">
        <v>1.1499999999999999</v>
      </c>
      <c r="G80" s="6">
        <v>1.01</v>
      </c>
      <c r="H80" s="6">
        <v>21</v>
      </c>
      <c r="I80" s="6" t="s">
        <v>38</v>
      </c>
      <c r="J80" s="6">
        <v>12</v>
      </c>
      <c r="M80" s="6" t="s">
        <v>171</v>
      </c>
      <c r="N80" s="6">
        <v>360</v>
      </c>
      <c r="O80" s="6" t="s">
        <v>100</v>
      </c>
      <c r="P80" s="6" t="s">
        <v>24</v>
      </c>
      <c r="R80" s="6" t="s">
        <v>975</v>
      </c>
    </row>
    <row r="81" spans="1:18" ht="17.25" customHeight="1" x14ac:dyDescent="0.2">
      <c r="A81" s="23" t="s">
        <v>233</v>
      </c>
      <c r="B81" s="6" t="s">
        <v>233</v>
      </c>
      <c r="C81" s="6" t="s">
        <v>26</v>
      </c>
      <c r="D81" s="6">
        <v>29</v>
      </c>
      <c r="E81" s="6">
        <v>72</v>
      </c>
      <c r="F81" s="6">
        <v>1.1000000000000001</v>
      </c>
      <c r="G81" s="6">
        <v>0.87</v>
      </c>
      <c r="H81" s="6">
        <v>21</v>
      </c>
      <c r="I81" s="6" t="s">
        <v>38</v>
      </c>
      <c r="J81" s="6">
        <v>25</v>
      </c>
      <c r="M81" s="6" t="s">
        <v>171</v>
      </c>
      <c r="N81" s="6">
        <v>360</v>
      </c>
      <c r="O81" s="6" t="s">
        <v>100</v>
      </c>
      <c r="P81" s="6" t="s">
        <v>24</v>
      </c>
      <c r="Q81" s="6" t="s">
        <v>1442</v>
      </c>
      <c r="R81" s="6" t="s">
        <v>976</v>
      </c>
    </row>
    <row r="82" spans="1:18" ht="17.25" customHeight="1" x14ac:dyDescent="0.2">
      <c r="A82" s="23" t="s">
        <v>234</v>
      </c>
      <c r="B82" s="6" t="s">
        <v>234</v>
      </c>
      <c r="C82" s="6" t="s">
        <v>17</v>
      </c>
      <c r="D82" s="6">
        <v>27</v>
      </c>
      <c r="E82" s="6">
        <v>40</v>
      </c>
      <c r="F82" s="6">
        <v>1.42</v>
      </c>
      <c r="G82" s="6">
        <v>1.34</v>
      </c>
      <c r="H82" s="6">
        <v>25</v>
      </c>
      <c r="I82" s="6" t="s">
        <v>38</v>
      </c>
      <c r="J82" s="6">
        <v>5</v>
      </c>
      <c r="M82" s="6" t="s">
        <v>171</v>
      </c>
      <c r="N82" s="6">
        <v>360</v>
      </c>
      <c r="O82" s="6" t="s">
        <v>100</v>
      </c>
      <c r="P82" s="6" t="s">
        <v>20</v>
      </c>
      <c r="R82" s="6" t="s">
        <v>977</v>
      </c>
    </row>
    <row r="83" spans="1:18" ht="17.25" customHeight="1" x14ac:dyDescent="0.2">
      <c r="A83" s="23" t="s">
        <v>235</v>
      </c>
      <c r="B83" s="6" t="s">
        <v>235</v>
      </c>
      <c r="C83" s="6" t="s">
        <v>22</v>
      </c>
      <c r="D83" s="6">
        <v>30</v>
      </c>
      <c r="E83" s="6">
        <v>60</v>
      </c>
      <c r="F83" s="6">
        <v>1.36</v>
      </c>
      <c r="G83" s="6">
        <v>1.2</v>
      </c>
      <c r="H83" s="6">
        <v>25</v>
      </c>
      <c r="I83" s="6" t="s">
        <v>38</v>
      </c>
      <c r="J83" s="6">
        <v>12</v>
      </c>
      <c r="M83" s="6" t="s">
        <v>171</v>
      </c>
      <c r="N83" s="6">
        <v>360</v>
      </c>
      <c r="O83" s="6" t="s">
        <v>100</v>
      </c>
      <c r="P83" s="6" t="s">
        <v>20</v>
      </c>
      <c r="R83" s="6" t="s">
        <v>978</v>
      </c>
    </row>
    <row r="84" spans="1:18" ht="17.25" customHeight="1" x14ac:dyDescent="0.2">
      <c r="A84" s="23" t="s">
        <v>236</v>
      </c>
      <c r="B84" s="6" t="s">
        <v>236</v>
      </c>
      <c r="C84" s="6" t="s">
        <v>26</v>
      </c>
      <c r="D84" s="6">
        <v>34</v>
      </c>
      <c r="E84" s="6">
        <v>84</v>
      </c>
      <c r="F84" s="6">
        <v>1.29</v>
      </c>
      <c r="G84" s="6">
        <v>1.04</v>
      </c>
      <c r="H84" s="6">
        <v>25</v>
      </c>
      <c r="I84" s="6" t="s">
        <v>38</v>
      </c>
      <c r="J84" s="6">
        <v>25</v>
      </c>
      <c r="M84" s="6" t="s">
        <v>171</v>
      </c>
      <c r="N84" s="6">
        <v>360</v>
      </c>
      <c r="O84" s="6" t="s">
        <v>100</v>
      </c>
      <c r="P84" s="6" t="s">
        <v>20</v>
      </c>
      <c r="Q84" s="6" t="s">
        <v>1443</v>
      </c>
      <c r="R84" s="6" t="s">
        <v>979</v>
      </c>
    </row>
    <row r="85" spans="1:18" ht="17.25" customHeight="1" x14ac:dyDescent="0.2">
      <c r="A85" s="23" t="s">
        <v>237</v>
      </c>
      <c r="B85" s="6" t="s">
        <v>237</v>
      </c>
      <c r="C85" s="6" t="s">
        <v>17</v>
      </c>
      <c r="D85" s="6">
        <v>19</v>
      </c>
      <c r="E85" s="6">
        <v>29</v>
      </c>
      <c r="F85" s="6">
        <v>1.1000000000000001</v>
      </c>
      <c r="G85" s="6">
        <v>1.03</v>
      </c>
      <c r="H85" s="6">
        <v>24</v>
      </c>
      <c r="I85" s="6" t="s">
        <v>38</v>
      </c>
      <c r="J85" s="6">
        <v>5</v>
      </c>
      <c r="M85" s="6" t="s">
        <v>171</v>
      </c>
      <c r="N85" s="6">
        <v>360</v>
      </c>
      <c r="O85" s="6" t="s">
        <v>100</v>
      </c>
      <c r="P85" s="6" t="s">
        <v>21</v>
      </c>
      <c r="R85" s="6" t="s">
        <v>980</v>
      </c>
    </row>
    <row r="86" spans="1:18" ht="17.25" customHeight="1" x14ac:dyDescent="0.2">
      <c r="A86" s="23" t="s">
        <v>238</v>
      </c>
      <c r="B86" s="6" t="s">
        <v>238</v>
      </c>
      <c r="C86" s="6" t="s">
        <v>22</v>
      </c>
      <c r="D86" s="6">
        <v>22</v>
      </c>
      <c r="E86" s="6">
        <v>43</v>
      </c>
      <c r="F86" s="6">
        <v>1.05</v>
      </c>
      <c r="G86" s="6">
        <v>0.92</v>
      </c>
      <c r="H86" s="6">
        <v>24</v>
      </c>
      <c r="I86" s="6" t="s">
        <v>38</v>
      </c>
      <c r="J86" s="6">
        <v>12</v>
      </c>
      <c r="M86" s="6" t="s">
        <v>171</v>
      </c>
      <c r="N86" s="6">
        <v>360</v>
      </c>
      <c r="O86" s="6" t="s">
        <v>100</v>
      </c>
      <c r="P86" s="6" t="s">
        <v>21</v>
      </c>
      <c r="R86" s="6" t="s">
        <v>981</v>
      </c>
    </row>
    <row r="87" spans="1:18" ht="17.25" customHeight="1" x14ac:dyDescent="0.2">
      <c r="A87" s="23" t="s">
        <v>239</v>
      </c>
      <c r="B87" s="6" t="s">
        <v>239</v>
      </c>
      <c r="C87" s="6" t="s">
        <v>26</v>
      </c>
      <c r="D87" s="6">
        <v>26</v>
      </c>
      <c r="E87" s="6">
        <v>65</v>
      </c>
      <c r="F87" s="6">
        <v>1</v>
      </c>
      <c r="G87" s="6">
        <v>0.79</v>
      </c>
      <c r="H87" s="6">
        <v>24</v>
      </c>
      <c r="I87" s="6" t="s">
        <v>38</v>
      </c>
      <c r="J87" s="6">
        <v>25</v>
      </c>
      <c r="M87" s="6" t="s">
        <v>171</v>
      </c>
      <c r="N87" s="6">
        <v>360</v>
      </c>
      <c r="O87" s="6" t="s">
        <v>100</v>
      </c>
      <c r="P87" s="6" t="s">
        <v>21</v>
      </c>
      <c r="Q87" s="6" t="s">
        <v>1444</v>
      </c>
      <c r="R87" s="6" t="s">
        <v>982</v>
      </c>
    </row>
    <row r="88" spans="1:18" ht="17.25" customHeight="1" x14ac:dyDescent="0.2">
      <c r="A88" s="23" t="s">
        <v>240</v>
      </c>
      <c r="B88" s="6" t="s">
        <v>240</v>
      </c>
      <c r="C88" s="6" t="s">
        <v>37</v>
      </c>
      <c r="D88" s="6">
        <v>47</v>
      </c>
      <c r="E88" s="6">
        <v>87</v>
      </c>
      <c r="F88" s="6">
        <v>0.92</v>
      </c>
      <c r="G88" s="6">
        <v>0.71</v>
      </c>
      <c r="H88" s="6">
        <v>29</v>
      </c>
      <c r="I88" s="6" t="s">
        <v>38</v>
      </c>
      <c r="J88" s="6">
        <v>45</v>
      </c>
      <c r="M88" s="6" t="s">
        <v>171</v>
      </c>
      <c r="N88" s="6">
        <v>360</v>
      </c>
      <c r="O88" s="6" t="s">
        <v>100</v>
      </c>
      <c r="P88" s="6" t="s">
        <v>158</v>
      </c>
      <c r="R88" s="6" t="s">
        <v>983</v>
      </c>
    </row>
    <row r="89" spans="1:18" ht="17.25" customHeight="1" x14ac:dyDescent="0.2">
      <c r="A89" s="23"/>
    </row>
    <row r="90" spans="1:18" ht="17.25" customHeight="1" x14ac:dyDescent="0.2">
      <c r="A90" s="23"/>
    </row>
    <row r="91" spans="1:18" ht="17.25" customHeight="1" x14ac:dyDescent="0.2">
      <c r="A91" s="23"/>
    </row>
    <row r="92" spans="1:18" ht="17.25" customHeight="1" x14ac:dyDescent="0.2">
      <c r="A92" s="23"/>
    </row>
  </sheetData>
  <autoFilter ref="A1:T87">
    <sortState ref="A2:T88">
      <sortCondition descending="1" ref="T1:T87"/>
    </sortState>
  </autoFilter>
  <phoneticPr fontId="1" type="noConversion"/>
  <conditionalFormatting sqref="C1:C82 C93:C1048576">
    <cfRule type="cellIs" dxfId="32" priority="4" operator="equal">
      <formula>"紫色"</formula>
    </cfRule>
    <cfRule type="cellIs" dxfId="31" priority="5" operator="equal">
      <formula>"金色"</formula>
    </cfRule>
    <cfRule type="cellIs" dxfId="30" priority="6" operator="equal">
      <formula>"蓝色"</formula>
    </cfRule>
  </conditionalFormatting>
  <conditionalFormatting sqref="C83:C92">
    <cfRule type="cellIs" dxfId="29" priority="1" operator="equal">
      <formula>"紫色"</formula>
    </cfRule>
    <cfRule type="cellIs" dxfId="28" priority="2" operator="equal">
      <formula>"金色"</formula>
    </cfRule>
    <cfRule type="cellIs" dxfId="27" priority="3" operator="equal">
      <formula>"蓝色"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048536"/>
  <sheetViews>
    <sheetView workbookViewId="0">
      <pane xSplit="3" ySplit="1" topLeftCell="D29" activePane="bottomRight" state="frozen"/>
      <selection pane="topRight" activeCell="C1" sqref="C1"/>
      <selection pane="bottomLeft" activeCell="A2" sqref="A2"/>
      <selection pane="bottomRight" activeCell="G49" sqref="G49"/>
    </sheetView>
  </sheetViews>
  <sheetFormatPr defaultRowHeight="14.25" x14ac:dyDescent="0.2"/>
  <cols>
    <col min="1" max="1" width="3" style="6" customWidth="1"/>
    <col min="2" max="2" width="28.125" style="6" customWidth="1"/>
    <col min="3" max="3" width="9" style="6"/>
    <col min="4" max="4" width="19.5" style="6" customWidth="1"/>
    <col min="5" max="10" width="9" style="6"/>
    <col min="11" max="11" width="11" style="6" customWidth="1"/>
    <col min="12" max="16384" width="9" style="6"/>
  </cols>
  <sheetData>
    <row r="1" spans="1:21" s="5" customFormat="1" ht="41.25" customHeight="1" x14ac:dyDescent="0.2">
      <c r="A1" s="5" t="s">
        <v>879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s="9" t="s">
        <v>7</v>
      </c>
      <c r="J1" s="9" t="s">
        <v>241</v>
      </c>
      <c r="K1" s="9" t="s">
        <v>13</v>
      </c>
      <c r="L1" s="9" t="s">
        <v>1446</v>
      </c>
      <c r="M1" s="9" t="s">
        <v>1447</v>
      </c>
      <c r="N1" s="9" t="s">
        <v>1445</v>
      </c>
      <c r="O1" s="9" t="s">
        <v>9</v>
      </c>
      <c r="P1" s="9" t="s">
        <v>12</v>
      </c>
      <c r="Q1" s="9" t="s">
        <v>14</v>
      </c>
      <c r="R1" s="9" t="s">
        <v>15</v>
      </c>
      <c r="S1" s="9" t="s">
        <v>16</v>
      </c>
      <c r="T1" s="9" t="s">
        <v>167</v>
      </c>
      <c r="U1" s="9" t="s">
        <v>168</v>
      </c>
    </row>
    <row r="2" spans="1:21" ht="16.5" customHeight="1" x14ac:dyDescent="0.2">
      <c r="A2" s="24" t="s">
        <v>242</v>
      </c>
      <c r="B2" s="10" t="s">
        <v>242</v>
      </c>
      <c r="C2" s="11" t="s">
        <v>17</v>
      </c>
      <c r="D2" s="11" t="s">
        <v>1461</v>
      </c>
      <c r="E2" s="11">
        <v>63</v>
      </c>
      <c r="F2" s="11">
        <v>81</v>
      </c>
      <c r="G2" s="11">
        <v>3</v>
      </c>
      <c r="H2" s="11">
        <v>30.46</v>
      </c>
      <c r="I2" s="11">
        <v>28.86</v>
      </c>
      <c r="J2" s="11">
        <v>5</v>
      </c>
      <c r="K2" s="11" t="s">
        <v>244</v>
      </c>
      <c r="L2" s="11"/>
      <c r="M2" s="11"/>
      <c r="N2" s="11" t="s">
        <v>1361</v>
      </c>
      <c r="O2" s="11">
        <v>60</v>
      </c>
      <c r="P2" s="11" t="s">
        <v>65</v>
      </c>
      <c r="Q2" s="11"/>
      <c r="R2" s="11"/>
      <c r="S2" s="11" t="s">
        <v>984</v>
      </c>
      <c r="T2" s="12">
        <f>F2*G2/I2</f>
        <v>8.4199584199584194</v>
      </c>
      <c r="U2" s="10">
        <f t="shared" ref="U2:U33" si="0">F2*G2</f>
        <v>243</v>
      </c>
    </row>
    <row r="3" spans="1:21" ht="16.5" customHeight="1" x14ac:dyDescent="0.2">
      <c r="A3" s="25" t="s">
        <v>245</v>
      </c>
      <c r="B3" s="11" t="s">
        <v>245</v>
      </c>
      <c r="C3" s="11" t="s">
        <v>22</v>
      </c>
      <c r="D3" s="11" t="s">
        <v>1461</v>
      </c>
      <c r="E3" s="11">
        <v>66</v>
      </c>
      <c r="F3" s="11">
        <v>106</v>
      </c>
      <c r="G3" s="11">
        <v>3</v>
      </c>
      <c r="H3" s="11">
        <v>29</v>
      </c>
      <c r="I3" s="11">
        <v>25.61</v>
      </c>
      <c r="J3" s="11">
        <v>12</v>
      </c>
      <c r="K3" s="11" t="s">
        <v>244</v>
      </c>
      <c r="L3" s="11"/>
      <c r="M3" s="11"/>
      <c r="N3" s="11" t="s">
        <v>1361</v>
      </c>
      <c r="O3" s="11">
        <v>60</v>
      </c>
      <c r="P3" s="11" t="s">
        <v>65</v>
      </c>
      <c r="Q3" s="11"/>
      <c r="R3" s="11" t="s">
        <v>985</v>
      </c>
      <c r="S3" s="11" t="s">
        <v>986</v>
      </c>
      <c r="T3" s="12">
        <f t="shared" ref="T3:T52" si="1">F3*G3/I3</f>
        <v>12.417024599765718</v>
      </c>
      <c r="U3" s="10">
        <f t="shared" si="0"/>
        <v>318</v>
      </c>
    </row>
    <row r="4" spans="1:21" ht="16.5" customHeight="1" x14ac:dyDescent="0.2">
      <c r="A4" s="24" t="s">
        <v>246</v>
      </c>
      <c r="B4" s="10" t="s">
        <v>246</v>
      </c>
      <c r="C4" s="11" t="s">
        <v>26</v>
      </c>
      <c r="D4" s="11" t="s">
        <v>1461</v>
      </c>
      <c r="E4" s="11">
        <v>70</v>
      </c>
      <c r="F4" s="11">
        <v>145</v>
      </c>
      <c r="G4" s="11">
        <v>3</v>
      </c>
      <c r="H4" s="11">
        <v>27.53</v>
      </c>
      <c r="I4" s="11">
        <v>22.22</v>
      </c>
      <c r="J4" s="11">
        <v>25</v>
      </c>
      <c r="K4" s="11" t="s">
        <v>244</v>
      </c>
      <c r="L4" s="11"/>
      <c r="M4" s="11"/>
      <c r="N4" s="11" t="s">
        <v>1361</v>
      </c>
      <c r="O4" s="11">
        <v>60</v>
      </c>
      <c r="P4" s="11" t="s">
        <v>65</v>
      </c>
      <c r="Q4" s="11"/>
      <c r="R4" s="11" t="s">
        <v>1362</v>
      </c>
      <c r="S4" s="11" t="s">
        <v>987</v>
      </c>
      <c r="T4" s="12">
        <f t="shared" si="1"/>
        <v>19.576957695769579</v>
      </c>
      <c r="U4" s="10">
        <f t="shared" si="0"/>
        <v>435</v>
      </c>
    </row>
    <row r="5" spans="1:21" ht="16.5" customHeight="1" x14ac:dyDescent="0.2">
      <c r="A5" s="24" t="s">
        <v>247</v>
      </c>
      <c r="B5" s="10" t="s">
        <v>247</v>
      </c>
      <c r="C5" s="11" t="s">
        <v>17</v>
      </c>
      <c r="D5" s="11" t="s">
        <v>1461</v>
      </c>
      <c r="E5" s="11">
        <v>46</v>
      </c>
      <c r="F5" s="11">
        <v>70</v>
      </c>
      <c r="G5" s="11">
        <v>3</v>
      </c>
      <c r="H5" s="11">
        <v>27.4</v>
      </c>
      <c r="I5" s="11">
        <v>25.75</v>
      </c>
      <c r="J5" s="11">
        <v>0</v>
      </c>
      <c r="K5" s="11" t="s">
        <v>100</v>
      </c>
      <c r="L5" s="11"/>
      <c r="M5" s="11"/>
      <c r="N5" s="11" t="s">
        <v>1361</v>
      </c>
      <c r="O5" s="11">
        <v>60</v>
      </c>
      <c r="P5" s="11"/>
      <c r="Q5" s="11"/>
      <c r="R5" s="11"/>
      <c r="S5" s="11" t="s">
        <v>988</v>
      </c>
      <c r="T5" s="12">
        <f t="shared" si="1"/>
        <v>8.1553398058252426</v>
      </c>
      <c r="U5" s="10">
        <f t="shared" si="0"/>
        <v>210</v>
      </c>
    </row>
    <row r="6" spans="1:21" ht="16.5" customHeight="1" x14ac:dyDescent="0.2">
      <c r="A6" s="24" t="s">
        <v>249</v>
      </c>
      <c r="B6" s="10" t="s">
        <v>249</v>
      </c>
      <c r="C6" s="11" t="s">
        <v>17</v>
      </c>
      <c r="D6" s="11" t="s">
        <v>1461</v>
      </c>
      <c r="E6" s="11">
        <v>50</v>
      </c>
      <c r="F6" s="11">
        <v>77</v>
      </c>
      <c r="G6" s="11">
        <v>3</v>
      </c>
      <c r="H6" s="11">
        <v>26.1</v>
      </c>
      <c r="I6" s="11">
        <v>24.53</v>
      </c>
      <c r="J6" s="11">
        <v>5</v>
      </c>
      <c r="K6" s="11" t="s">
        <v>100</v>
      </c>
      <c r="L6" s="11"/>
      <c r="M6" s="11"/>
      <c r="N6" s="11" t="s">
        <v>1361</v>
      </c>
      <c r="O6" s="11">
        <v>60</v>
      </c>
      <c r="P6" s="11" t="s">
        <v>250</v>
      </c>
      <c r="Q6" s="11"/>
      <c r="R6" s="11"/>
      <c r="S6" s="11" t="s">
        <v>1448</v>
      </c>
      <c r="T6" s="12">
        <f t="shared" si="1"/>
        <v>9.4170403587443943</v>
      </c>
      <c r="U6" s="10">
        <f t="shared" si="0"/>
        <v>231</v>
      </c>
    </row>
    <row r="7" spans="1:21" ht="16.5" customHeight="1" x14ac:dyDescent="0.2">
      <c r="A7" s="25" t="s">
        <v>251</v>
      </c>
      <c r="B7" s="11" t="s">
        <v>251</v>
      </c>
      <c r="C7" s="11" t="s">
        <v>22</v>
      </c>
      <c r="D7" s="11" t="s">
        <v>1461</v>
      </c>
      <c r="E7" s="11">
        <v>56</v>
      </c>
      <c r="F7" s="11">
        <v>116</v>
      </c>
      <c r="G7" s="11">
        <v>3</v>
      </c>
      <c r="H7" s="11">
        <v>24.79</v>
      </c>
      <c r="I7" s="11">
        <v>21.81</v>
      </c>
      <c r="J7" s="11">
        <v>12</v>
      </c>
      <c r="K7" s="11" t="s">
        <v>100</v>
      </c>
      <c r="L7" s="11"/>
      <c r="M7" s="11"/>
      <c r="N7" s="11" t="s">
        <v>1361</v>
      </c>
      <c r="O7" s="11">
        <v>60</v>
      </c>
      <c r="P7" s="11" t="s">
        <v>250</v>
      </c>
      <c r="Q7" s="11"/>
      <c r="R7" s="11" t="s">
        <v>1449</v>
      </c>
      <c r="S7" s="11" t="s">
        <v>1450</v>
      </c>
      <c r="T7" s="12">
        <f t="shared" si="1"/>
        <v>15.95598349381018</v>
      </c>
      <c r="U7" s="10">
        <f t="shared" si="0"/>
        <v>348</v>
      </c>
    </row>
    <row r="8" spans="1:21" ht="16.5" customHeight="1" x14ac:dyDescent="0.2">
      <c r="A8" s="24" t="s">
        <v>252</v>
      </c>
      <c r="B8" s="10" t="s">
        <v>252</v>
      </c>
      <c r="C8" s="11" t="s">
        <v>17</v>
      </c>
      <c r="D8" s="11" t="s">
        <v>1461</v>
      </c>
      <c r="E8" s="11">
        <v>47</v>
      </c>
      <c r="F8" s="11">
        <v>72</v>
      </c>
      <c r="G8" s="11">
        <v>3</v>
      </c>
      <c r="H8" s="11">
        <v>29.6</v>
      </c>
      <c r="I8" s="11">
        <v>27.84</v>
      </c>
      <c r="J8" s="11">
        <v>5</v>
      </c>
      <c r="K8" s="11" t="s">
        <v>100</v>
      </c>
      <c r="L8" s="11"/>
      <c r="M8" s="11"/>
      <c r="N8" s="11" t="s">
        <v>1361</v>
      </c>
      <c r="O8" s="11">
        <v>60</v>
      </c>
      <c r="P8" s="11"/>
      <c r="Q8" s="11"/>
      <c r="R8" s="11"/>
      <c r="S8" s="11" t="s">
        <v>989</v>
      </c>
      <c r="T8" s="12">
        <f t="shared" si="1"/>
        <v>7.7586206896551726</v>
      </c>
      <c r="U8" s="10">
        <f t="shared" si="0"/>
        <v>216</v>
      </c>
    </row>
    <row r="9" spans="1:21" ht="16.5" customHeight="1" x14ac:dyDescent="0.2">
      <c r="A9" s="24" t="s">
        <v>253</v>
      </c>
      <c r="B9" s="10" t="s">
        <v>253</v>
      </c>
      <c r="C9" s="11" t="s">
        <v>26</v>
      </c>
      <c r="D9" s="11" t="s">
        <v>1461</v>
      </c>
      <c r="E9" s="11">
        <v>58</v>
      </c>
      <c r="F9" s="11">
        <v>162</v>
      </c>
      <c r="G9" s="11">
        <v>3</v>
      </c>
      <c r="H9" s="11">
        <v>26.8</v>
      </c>
      <c r="I9" s="11">
        <v>20.69</v>
      </c>
      <c r="J9" s="11">
        <v>25</v>
      </c>
      <c r="K9" s="11" t="s">
        <v>100</v>
      </c>
      <c r="L9" s="11"/>
      <c r="M9" s="11"/>
      <c r="N9" s="11" t="s">
        <v>1361</v>
      </c>
      <c r="O9" s="11">
        <v>60</v>
      </c>
      <c r="P9" s="11" t="s">
        <v>158</v>
      </c>
      <c r="Q9" s="11"/>
      <c r="R9" s="11"/>
      <c r="S9" s="11" t="s">
        <v>990</v>
      </c>
      <c r="T9" s="12">
        <f t="shared" si="1"/>
        <v>23.489608506524888</v>
      </c>
      <c r="U9" s="10">
        <f t="shared" si="0"/>
        <v>486</v>
      </c>
    </row>
    <row r="10" spans="1:21" ht="16.5" customHeight="1" x14ac:dyDescent="0.2">
      <c r="A10" s="24" t="s">
        <v>254</v>
      </c>
      <c r="B10" s="10" t="s">
        <v>254</v>
      </c>
      <c r="C10" s="11" t="s">
        <v>17</v>
      </c>
      <c r="D10" s="11" t="s">
        <v>1461</v>
      </c>
      <c r="E10" s="11">
        <v>52</v>
      </c>
      <c r="F10" s="11">
        <v>82</v>
      </c>
      <c r="G10" s="11">
        <v>3</v>
      </c>
      <c r="H10" s="11">
        <v>33.799999999999997</v>
      </c>
      <c r="I10" s="11">
        <v>31.76</v>
      </c>
      <c r="J10" s="11">
        <v>5</v>
      </c>
      <c r="K10" s="11" t="s">
        <v>100</v>
      </c>
      <c r="L10" s="11"/>
      <c r="M10" s="11"/>
      <c r="N10" s="11" t="s">
        <v>1363</v>
      </c>
      <c r="O10" s="11">
        <v>60</v>
      </c>
      <c r="P10" s="11" t="s">
        <v>21</v>
      </c>
      <c r="Q10" s="11"/>
      <c r="R10" s="11"/>
      <c r="S10" s="11" t="s">
        <v>991</v>
      </c>
      <c r="T10" s="12">
        <f t="shared" si="1"/>
        <v>7.7455919395465989</v>
      </c>
      <c r="U10" s="10">
        <f t="shared" si="0"/>
        <v>246</v>
      </c>
    </row>
    <row r="11" spans="1:21" ht="16.5" customHeight="1" x14ac:dyDescent="0.2">
      <c r="A11" s="24" t="s">
        <v>255</v>
      </c>
      <c r="B11" s="10" t="s">
        <v>255</v>
      </c>
      <c r="C11" s="11" t="s">
        <v>22</v>
      </c>
      <c r="D11" s="11" t="s">
        <v>1461</v>
      </c>
      <c r="E11" s="11">
        <v>58</v>
      </c>
      <c r="F11" s="11">
        <v>130</v>
      </c>
      <c r="G11" s="11">
        <v>3</v>
      </c>
      <c r="H11" s="11">
        <v>32.18</v>
      </c>
      <c r="I11" s="11">
        <v>28.32</v>
      </c>
      <c r="J11" s="11">
        <v>12</v>
      </c>
      <c r="K11" s="11" t="s">
        <v>100</v>
      </c>
      <c r="L11" s="11"/>
      <c r="M11" s="11"/>
      <c r="N11" s="11" t="s">
        <v>1363</v>
      </c>
      <c r="O11" s="11">
        <v>60</v>
      </c>
      <c r="P11" s="11" t="s">
        <v>21</v>
      </c>
      <c r="Q11" s="11"/>
      <c r="R11" s="11"/>
      <c r="S11" s="11" t="s">
        <v>992</v>
      </c>
      <c r="T11" s="12">
        <f t="shared" si="1"/>
        <v>13.771186440677965</v>
      </c>
      <c r="U11" s="10">
        <f t="shared" si="0"/>
        <v>390</v>
      </c>
    </row>
    <row r="12" spans="1:21" ht="16.5" customHeight="1" x14ac:dyDescent="0.2">
      <c r="A12" s="24" t="s">
        <v>256</v>
      </c>
      <c r="B12" s="10" t="s">
        <v>256</v>
      </c>
      <c r="C12" s="11" t="s">
        <v>26</v>
      </c>
      <c r="D12" s="11" t="s">
        <v>1461</v>
      </c>
      <c r="E12" s="11">
        <v>66</v>
      </c>
      <c r="F12" s="11">
        <v>206</v>
      </c>
      <c r="G12" s="11">
        <v>3</v>
      </c>
      <c r="H12" s="11">
        <v>30.57</v>
      </c>
      <c r="I12" s="11">
        <v>24.46</v>
      </c>
      <c r="J12" s="11">
        <v>25</v>
      </c>
      <c r="K12" s="11" t="s">
        <v>100</v>
      </c>
      <c r="L12" s="11"/>
      <c r="M12" s="11"/>
      <c r="N12" s="11" t="s">
        <v>1363</v>
      </c>
      <c r="O12" s="11">
        <v>60</v>
      </c>
      <c r="P12" s="11" t="s">
        <v>21</v>
      </c>
      <c r="Q12" s="11"/>
      <c r="R12" s="11" t="s">
        <v>1364</v>
      </c>
      <c r="S12" s="11" t="s">
        <v>993</v>
      </c>
      <c r="T12" s="12">
        <f t="shared" si="1"/>
        <v>25.265739983646771</v>
      </c>
      <c r="U12" s="10">
        <f t="shared" si="0"/>
        <v>618</v>
      </c>
    </row>
    <row r="13" spans="1:21" ht="16.5" customHeight="1" x14ac:dyDescent="0.2">
      <c r="A13" s="24" t="s">
        <v>257</v>
      </c>
      <c r="B13" s="10" t="s">
        <v>257</v>
      </c>
      <c r="C13" s="11" t="s">
        <v>26</v>
      </c>
      <c r="D13" s="11" t="s">
        <v>1461</v>
      </c>
      <c r="E13" s="11">
        <v>63</v>
      </c>
      <c r="F13" s="11">
        <v>123</v>
      </c>
      <c r="G13" s="11">
        <v>5</v>
      </c>
      <c r="H13" s="11">
        <v>40.57</v>
      </c>
      <c r="I13" s="11">
        <v>32.46</v>
      </c>
      <c r="J13" s="11">
        <v>25</v>
      </c>
      <c r="K13" s="11" t="s">
        <v>244</v>
      </c>
      <c r="L13" s="11"/>
      <c r="M13" s="11"/>
      <c r="N13" s="11" t="s">
        <v>1361</v>
      </c>
      <c r="O13" s="11">
        <v>90</v>
      </c>
      <c r="P13" s="11" t="s">
        <v>65</v>
      </c>
      <c r="Q13" s="11"/>
      <c r="R13" s="11" t="s">
        <v>258</v>
      </c>
      <c r="S13" s="11" t="s">
        <v>994</v>
      </c>
      <c r="T13" s="12">
        <f t="shared" si="1"/>
        <v>18.946395563770793</v>
      </c>
      <c r="U13" s="10">
        <f t="shared" si="0"/>
        <v>615</v>
      </c>
    </row>
    <row r="14" spans="1:21" ht="16.5" customHeight="1" x14ac:dyDescent="0.2">
      <c r="A14" s="24" t="s">
        <v>259</v>
      </c>
      <c r="B14" s="10" t="s">
        <v>259</v>
      </c>
      <c r="C14" s="11" t="s">
        <v>37</v>
      </c>
      <c r="D14" s="11" t="s">
        <v>1461</v>
      </c>
      <c r="E14" s="11">
        <v>66</v>
      </c>
      <c r="F14" s="11">
        <v>133</v>
      </c>
      <c r="G14" s="11">
        <v>5</v>
      </c>
      <c r="H14" s="11">
        <v>38.64</v>
      </c>
      <c r="I14" s="11">
        <v>30.93</v>
      </c>
      <c r="J14" s="11">
        <v>45</v>
      </c>
      <c r="K14" s="11" t="s">
        <v>244</v>
      </c>
      <c r="L14" s="11"/>
      <c r="M14" s="11"/>
      <c r="N14" s="11" t="s">
        <v>1361</v>
      </c>
      <c r="O14" s="11">
        <v>90</v>
      </c>
      <c r="P14" s="11" t="s">
        <v>65</v>
      </c>
      <c r="Q14" s="11"/>
      <c r="R14" s="11" t="s">
        <v>260</v>
      </c>
      <c r="S14" s="11" t="s">
        <v>995</v>
      </c>
      <c r="T14" s="12">
        <f t="shared" si="1"/>
        <v>21.500161655350791</v>
      </c>
      <c r="U14" s="10">
        <f t="shared" si="0"/>
        <v>665</v>
      </c>
    </row>
    <row r="15" spans="1:21" ht="16.5" customHeight="1" x14ac:dyDescent="0.2">
      <c r="A15" s="24" t="s">
        <v>261</v>
      </c>
      <c r="B15" s="10" t="s">
        <v>261</v>
      </c>
      <c r="C15" s="11" t="s">
        <v>166</v>
      </c>
      <c r="D15" s="11" t="s">
        <v>1461</v>
      </c>
      <c r="E15" s="11">
        <v>70</v>
      </c>
      <c r="F15" s="11">
        <v>145</v>
      </c>
      <c r="G15" s="11">
        <v>5</v>
      </c>
      <c r="H15" s="11">
        <v>36.71</v>
      </c>
      <c r="I15" s="11">
        <v>29.4</v>
      </c>
      <c r="J15" s="11">
        <v>70</v>
      </c>
      <c r="K15" s="11" t="s">
        <v>244</v>
      </c>
      <c r="L15" s="11"/>
      <c r="M15" s="11"/>
      <c r="N15" s="11" t="s">
        <v>1361</v>
      </c>
      <c r="O15" s="11">
        <v>90</v>
      </c>
      <c r="P15" s="11"/>
      <c r="Q15" s="11"/>
      <c r="R15" s="11"/>
      <c r="S15" s="11" t="s">
        <v>996</v>
      </c>
      <c r="T15" s="12">
        <f t="shared" si="1"/>
        <v>24.659863945578234</v>
      </c>
      <c r="U15" s="10">
        <f t="shared" si="0"/>
        <v>725</v>
      </c>
    </row>
    <row r="16" spans="1:21" ht="16.5" customHeight="1" x14ac:dyDescent="0.2">
      <c r="A16" s="24" t="s">
        <v>263</v>
      </c>
      <c r="B16" s="10" t="s">
        <v>263</v>
      </c>
      <c r="C16" s="11" t="s">
        <v>22</v>
      </c>
      <c r="D16" s="11" t="s">
        <v>1461</v>
      </c>
      <c r="E16" s="11">
        <v>46</v>
      </c>
      <c r="F16" s="11">
        <v>94</v>
      </c>
      <c r="G16" s="11">
        <v>5</v>
      </c>
      <c r="H16" s="11">
        <v>36.53</v>
      </c>
      <c r="I16" s="11">
        <v>32.15</v>
      </c>
      <c r="J16" s="11">
        <v>12</v>
      </c>
      <c r="K16" s="11" t="s">
        <v>100</v>
      </c>
      <c r="L16" s="11"/>
      <c r="M16" s="11"/>
      <c r="N16" s="11" t="s">
        <v>1361</v>
      </c>
      <c r="O16" s="11">
        <v>90</v>
      </c>
      <c r="P16" s="11" t="s">
        <v>250</v>
      </c>
      <c r="Q16" s="11"/>
      <c r="R16" s="11" t="s">
        <v>1451</v>
      </c>
      <c r="S16" s="11" t="s">
        <v>1452</v>
      </c>
      <c r="T16" s="12">
        <f t="shared" si="1"/>
        <v>14.618973561430794</v>
      </c>
      <c r="U16" s="10">
        <f t="shared" si="0"/>
        <v>470</v>
      </c>
    </row>
    <row r="17" spans="1:21" ht="16.5" customHeight="1" x14ac:dyDescent="0.2">
      <c r="A17" s="24" t="s">
        <v>264</v>
      </c>
      <c r="B17" s="10" t="s">
        <v>264</v>
      </c>
      <c r="C17" s="11" t="s">
        <v>26</v>
      </c>
      <c r="D17" s="11" t="s">
        <v>1461</v>
      </c>
      <c r="E17" s="11">
        <v>50</v>
      </c>
      <c r="F17" s="11">
        <v>140</v>
      </c>
      <c r="G17" s="11">
        <v>5</v>
      </c>
      <c r="H17" s="11">
        <v>34.79</v>
      </c>
      <c r="I17" s="11">
        <v>27.83</v>
      </c>
      <c r="J17" s="11">
        <v>25</v>
      </c>
      <c r="K17" s="11" t="s">
        <v>100</v>
      </c>
      <c r="L17" s="11"/>
      <c r="M17" s="11"/>
      <c r="N17" s="11" t="s">
        <v>1361</v>
      </c>
      <c r="O17" s="11">
        <v>90</v>
      </c>
      <c r="P17" s="11" t="s">
        <v>250</v>
      </c>
      <c r="Q17" s="11"/>
      <c r="R17" s="11" t="s">
        <v>1453</v>
      </c>
      <c r="S17" s="11" t="s">
        <v>1454</v>
      </c>
      <c r="T17" s="12">
        <f t="shared" si="1"/>
        <v>25.152712899748476</v>
      </c>
      <c r="U17" s="10">
        <f t="shared" si="0"/>
        <v>700</v>
      </c>
    </row>
    <row r="18" spans="1:21" ht="16.5" customHeight="1" x14ac:dyDescent="0.2">
      <c r="A18" s="24" t="s">
        <v>265</v>
      </c>
      <c r="B18" s="10" t="s">
        <v>265</v>
      </c>
      <c r="C18" s="11" t="s">
        <v>37</v>
      </c>
      <c r="D18" s="11" t="s">
        <v>1461</v>
      </c>
      <c r="E18" s="11">
        <v>56</v>
      </c>
      <c r="F18" s="11">
        <v>156</v>
      </c>
      <c r="G18" s="11">
        <v>5</v>
      </c>
      <c r="H18" s="11">
        <v>33.049999999999997</v>
      </c>
      <c r="I18" s="11">
        <v>26.44</v>
      </c>
      <c r="J18" s="11">
        <v>45</v>
      </c>
      <c r="K18" s="11" t="s">
        <v>100</v>
      </c>
      <c r="L18" s="11"/>
      <c r="M18" s="11"/>
      <c r="N18" s="11" t="s">
        <v>1361</v>
      </c>
      <c r="O18" s="11">
        <v>90</v>
      </c>
      <c r="P18" s="11" t="s">
        <v>250</v>
      </c>
      <c r="Q18" s="11"/>
      <c r="R18" s="11" t="s">
        <v>1455</v>
      </c>
      <c r="S18" s="11" t="s">
        <v>1456</v>
      </c>
      <c r="T18" s="12">
        <f t="shared" si="1"/>
        <v>29.500756429652039</v>
      </c>
      <c r="U18" s="10">
        <f t="shared" si="0"/>
        <v>780</v>
      </c>
    </row>
    <row r="19" spans="1:21" ht="16.5" customHeight="1" x14ac:dyDescent="0.2">
      <c r="A19" s="24" t="s">
        <v>266</v>
      </c>
      <c r="B19" s="10" t="s">
        <v>266</v>
      </c>
      <c r="C19" s="11" t="s">
        <v>17</v>
      </c>
      <c r="D19" s="11" t="s">
        <v>1461</v>
      </c>
      <c r="E19" s="11">
        <v>42</v>
      </c>
      <c r="F19" s="11">
        <v>65</v>
      </c>
      <c r="G19" s="11">
        <v>2</v>
      </c>
      <c r="H19" s="11">
        <v>23.94</v>
      </c>
      <c r="I19" s="11">
        <v>22.75</v>
      </c>
      <c r="J19" s="11">
        <v>0</v>
      </c>
      <c r="K19" s="11" t="s">
        <v>100</v>
      </c>
      <c r="L19" s="11"/>
      <c r="M19" s="11"/>
      <c r="N19" s="11" t="s">
        <v>1361</v>
      </c>
      <c r="O19" s="11">
        <v>45</v>
      </c>
      <c r="P19" s="11"/>
      <c r="Q19" s="11"/>
      <c r="R19" s="11"/>
      <c r="S19" s="11" t="s">
        <v>997</v>
      </c>
      <c r="T19" s="12">
        <f t="shared" si="1"/>
        <v>5.7142857142857144</v>
      </c>
      <c r="U19" s="10">
        <f t="shared" si="0"/>
        <v>130</v>
      </c>
    </row>
    <row r="20" spans="1:21" ht="16.5" customHeight="1" x14ac:dyDescent="0.2">
      <c r="A20" s="24" t="s">
        <v>267</v>
      </c>
      <c r="B20" s="10" t="s">
        <v>267</v>
      </c>
      <c r="C20" s="11" t="s">
        <v>22</v>
      </c>
      <c r="D20" s="11" t="s">
        <v>1461</v>
      </c>
      <c r="E20" s="11">
        <v>52</v>
      </c>
      <c r="F20" s="11">
        <v>108</v>
      </c>
      <c r="G20" s="11">
        <v>2</v>
      </c>
      <c r="H20" s="11">
        <v>22.61</v>
      </c>
      <c r="I20" s="11">
        <v>19.420000000000002</v>
      </c>
      <c r="J20" s="11">
        <v>12</v>
      </c>
      <c r="K20" s="11" t="s">
        <v>100</v>
      </c>
      <c r="L20" s="11"/>
      <c r="M20" s="11"/>
      <c r="N20" s="11" t="s">
        <v>1361</v>
      </c>
      <c r="O20" s="11">
        <v>45</v>
      </c>
      <c r="P20" s="11" t="s">
        <v>158</v>
      </c>
      <c r="Q20" s="11"/>
      <c r="R20" s="11" t="s">
        <v>1365</v>
      </c>
      <c r="S20" s="11" t="s">
        <v>998</v>
      </c>
      <c r="T20" s="12">
        <f t="shared" si="1"/>
        <v>11.122554067971162</v>
      </c>
      <c r="U20" s="10">
        <f t="shared" si="0"/>
        <v>216</v>
      </c>
    </row>
    <row r="21" spans="1:21" ht="16.5" customHeight="1" x14ac:dyDescent="0.2">
      <c r="A21" s="25" t="s">
        <v>268</v>
      </c>
      <c r="B21" s="11" t="s">
        <v>268</v>
      </c>
      <c r="C21" s="11" t="s">
        <v>17</v>
      </c>
      <c r="D21" s="11" t="s">
        <v>1461</v>
      </c>
      <c r="E21" s="11">
        <v>52</v>
      </c>
      <c r="F21" s="11">
        <v>82</v>
      </c>
      <c r="G21" s="11">
        <v>2</v>
      </c>
      <c r="H21" s="11">
        <v>25.27</v>
      </c>
      <c r="I21" s="11">
        <v>24.08</v>
      </c>
      <c r="J21" s="11">
        <v>0</v>
      </c>
      <c r="K21" s="11" t="s">
        <v>100</v>
      </c>
      <c r="L21" s="11"/>
      <c r="M21" s="11"/>
      <c r="N21" s="11" t="s">
        <v>1363</v>
      </c>
      <c r="O21" s="11">
        <v>45</v>
      </c>
      <c r="P21" s="11" t="s">
        <v>21</v>
      </c>
      <c r="Q21" s="11"/>
      <c r="R21" s="11"/>
      <c r="S21" s="11" t="s">
        <v>999</v>
      </c>
      <c r="T21" s="12">
        <f t="shared" si="1"/>
        <v>6.8106312292358808</v>
      </c>
      <c r="U21" s="10">
        <f t="shared" si="0"/>
        <v>164</v>
      </c>
    </row>
    <row r="22" spans="1:21" ht="16.5" customHeight="1" x14ac:dyDescent="0.2">
      <c r="A22" s="24" t="s">
        <v>269</v>
      </c>
      <c r="B22" s="10" t="s">
        <v>269</v>
      </c>
      <c r="C22" s="11" t="s">
        <v>17</v>
      </c>
      <c r="D22" s="11" t="s">
        <v>1461</v>
      </c>
      <c r="E22" s="11">
        <v>58</v>
      </c>
      <c r="F22" s="11">
        <v>94</v>
      </c>
      <c r="G22" s="11">
        <v>2</v>
      </c>
      <c r="H22" s="11">
        <v>24.61</v>
      </c>
      <c r="I22" s="11">
        <v>23.21</v>
      </c>
      <c r="J22" s="11">
        <v>5</v>
      </c>
      <c r="K22" s="11" t="s">
        <v>100</v>
      </c>
      <c r="L22" s="11"/>
      <c r="M22" s="11"/>
      <c r="N22" s="11" t="s">
        <v>1363</v>
      </c>
      <c r="O22" s="11">
        <v>45</v>
      </c>
      <c r="P22" s="11" t="s">
        <v>21</v>
      </c>
      <c r="Q22" s="11"/>
      <c r="R22" s="11"/>
      <c r="S22" s="11" t="s">
        <v>1000</v>
      </c>
      <c r="T22" s="12">
        <f t="shared" si="1"/>
        <v>8.0999569151227924</v>
      </c>
      <c r="U22" s="10">
        <f t="shared" si="0"/>
        <v>188</v>
      </c>
    </row>
    <row r="23" spans="1:21" ht="16.5" customHeight="1" x14ac:dyDescent="0.2">
      <c r="A23" s="24" t="s">
        <v>270</v>
      </c>
      <c r="B23" s="10" t="s">
        <v>270</v>
      </c>
      <c r="C23" s="11" t="s">
        <v>22</v>
      </c>
      <c r="D23" s="11" t="s">
        <v>1461</v>
      </c>
      <c r="E23" s="11">
        <v>66</v>
      </c>
      <c r="F23" s="11">
        <v>150</v>
      </c>
      <c r="G23" s="11">
        <v>2</v>
      </c>
      <c r="H23" s="11">
        <v>23.94</v>
      </c>
      <c r="I23" s="11">
        <v>20.75</v>
      </c>
      <c r="J23" s="11">
        <v>12</v>
      </c>
      <c r="K23" s="11" t="s">
        <v>100</v>
      </c>
      <c r="L23" s="11"/>
      <c r="M23" s="11"/>
      <c r="N23" s="11" t="s">
        <v>1363</v>
      </c>
      <c r="O23" s="11">
        <v>45</v>
      </c>
      <c r="P23" s="11" t="s">
        <v>21</v>
      </c>
      <c r="Q23" s="11"/>
      <c r="R23" s="11" t="s">
        <v>1366</v>
      </c>
      <c r="S23" s="11" t="s">
        <v>1001</v>
      </c>
      <c r="T23" s="12">
        <f t="shared" si="1"/>
        <v>14.457831325301205</v>
      </c>
      <c r="U23" s="10">
        <f t="shared" si="0"/>
        <v>300</v>
      </c>
    </row>
    <row r="24" spans="1:21" ht="16.5" customHeight="1" x14ac:dyDescent="0.2">
      <c r="A24" s="24" t="s">
        <v>271</v>
      </c>
      <c r="B24" s="10" t="s">
        <v>271</v>
      </c>
      <c r="C24" s="11" t="s">
        <v>22</v>
      </c>
      <c r="D24" s="11" t="s">
        <v>1461</v>
      </c>
      <c r="E24" s="11">
        <v>63</v>
      </c>
      <c r="F24" s="11">
        <v>99</v>
      </c>
      <c r="G24" s="11">
        <v>4</v>
      </c>
      <c r="H24" s="11">
        <v>35.51</v>
      </c>
      <c r="I24" s="11">
        <v>31.13</v>
      </c>
      <c r="J24" s="11">
        <v>12</v>
      </c>
      <c r="K24" s="11" t="s">
        <v>244</v>
      </c>
      <c r="L24" s="11"/>
      <c r="M24" s="11"/>
      <c r="N24" s="11" t="s">
        <v>1361</v>
      </c>
      <c r="O24" s="11">
        <v>72</v>
      </c>
      <c r="P24" s="11" t="s">
        <v>65</v>
      </c>
      <c r="Q24" s="11"/>
      <c r="R24" s="11"/>
      <c r="S24" s="11" t="s">
        <v>1002</v>
      </c>
      <c r="T24" s="12">
        <f t="shared" si="1"/>
        <v>12.720848056537102</v>
      </c>
      <c r="U24" s="10">
        <f t="shared" si="0"/>
        <v>396</v>
      </c>
    </row>
    <row r="25" spans="1:21" ht="16.5" customHeight="1" x14ac:dyDescent="0.2">
      <c r="A25" s="24" t="s">
        <v>272</v>
      </c>
      <c r="B25" s="10" t="s">
        <v>272</v>
      </c>
      <c r="C25" s="11" t="s">
        <v>26</v>
      </c>
      <c r="D25" s="11" t="s">
        <v>1461</v>
      </c>
      <c r="E25" s="11">
        <v>66</v>
      </c>
      <c r="F25" s="11">
        <v>133</v>
      </c>
      <c r="G25" s="11">
        <v>4</v>
      </c>
      <c r="H25" s="11">
        <v>33.79</v>
      </c>
      <c r="I25" s="11">
        <v>26.8</v>
      </c>
      <c r="J25" s="11">
        <v>25</v>
      </c>
      <c r="K25" s="11" t="s">
        <v>244</v>
      </c>
      <c r="L25" s="11"/>
      <c r="M25" s="11"/>
      <c r="N25" s="11" t="s">
        <v>1361</v>
      </c>
      <c r="O25" s="11">
        <v>72</v>
      </c>
      <c r="P25" s="11" t="s">
        <v>65</v>
      </c>
      <c r="Q25" s="11"/>
      <c r="R25" s="11" t="s">
        <v>1367</v>
      </c>
      <c r="S25" s="11" t="s">
        <v>1003</v>
      </c>
      <c r="T25" s="12">
        <f t="shared" si="1"/>
        <v>19.850746268656717</v>
      </c>
      <c r="U25" s="10">
        <f t="shared" si="0"/>
        <v>532</v>
      </c>
    </row>
    <row r="26" spans="1:21" ht="16.5" customHeight="1" x14ac:dyDescent="0.2">
      <c r="A26" s="24" t="s">
        <v>273</v>
      </c>
      <c r="B26" s="10" t="s">
        <v>273</v>
      </c>
      <c r="C26" s="11" t="s">
        <v>37</v>
      </c>
      <c r="D26" s="11" t="s">
        <v>1461</v>
      </c>
      <c r="E26" s="11">
        <v>70</v>
      </c>
      <c r="F26" s="11">
        <v>145</v>
      </c>
      <c r="G26" s="11">
        <v>4</v>
      </c>
      <c r="H26" s="11">
        <v>32.119999999999997</v>
      </c>
      <c r="I26" s="11">
        <v>25.47</v>
      </c>
      <c r="J26" s="11">
        <v>45</v>
      </c>
      <c r="K26" s="11" t="s">
        <v>244</v>
      </c>
      <c r="L26" s="11"/>
      <c r="M26" s="11"/>
      <c r="N26" s="11" t="s">
        <v>1361</v>
      </c>
      <c r="O26" s="11">
        <v>72</v>
      </c>
      <c r="P26" s="11" t="s">
        <v>65</v>
      </c>
      <c r="Q26" s="11"/>
      <c r="R26" s="11" t="s">
        <v>1368</v>
      </c>
      <c r="S26" s="11" t="s">
        <v>1004</v>
      </c>
      <c r="T26" s="12">
        <f t="shared" si="1"/>
        <v>22.771888496270122</v>
      </c>
      <c r="U26" s="10">
        <f t="shared" si="0"/>
        <v>580</v>
      </c>
    </row>
    <row r="27" spans="1:21" ht="16.5" customHeight="1" x14ac:dyDescent="0.2">
      <c r="A27" s="25" t="s">
        <v>274</v>
      </c>
      <c r="B27" s="11" t="s">
        <v>274</v>
      </c>
      <c r="C27" s="11" t="s">
        <v>17</v>
      </c>
      <c r="D27" s="11" t="s">
        <v>1461</v>
      </c>
      <c r="E27" s="11">
        <v>46</v>
      </c>
      <c r="F27" s="11">
        <v>70</v>
      </c>
      <c r="G27" s="11">
        <v>4</v>
      </c>
      <c r="H27" s="11">
        <v>31.96</v>
      </c>
      <c r="I27" s="11">
        <v>30.05</v>
      </c>
      <c r="J27" s="11">
        <v>5</v>
      </c>
      <c r="K27" s="11" t="s">
        <v>100</v>
      </c>
      <c r="L27" s="11"/>
      <c r="M27" s="11"/>
      <c r="N27" s="11" t="s">
        <v>1361</v>
      </c>
      <c r="O27" s="11">
        <v>72</v>
      </c>
      <c r="P27" s="11" t="s">
        <v>250</v>
      </c>
      <c r="Q27" s="11"/>
      <c r="R27" s="11"/>
      <c r="S27" s="11" t="s">
        <v>1457</v>
      </c>
      <c r="T27" s="12">
        <f t="shared" si="1"/>
        <v>9.3178036605657244</v>
      </c>
      <c r="U27" s="10">
        <f t="shared" si="0"/>
        <v>280</v>
      </c>
    </row>
    <row r="28" spans="1:21" ht="16.5" customHeight="1" x14ac:dyDescent="0.2">
      <c r="A28" s="24" t="s">
        <v>275</v>
      </c>
      <c r="B28" s="10" t="s">
        <v>275</v>
      </c>
      <c r="C28" s="11" t="s">
        <v>22</v>
      </c>
      <c r="D28" s="11" t="s">
        <v>1461</v>
      </c>
      <c r="E28" s="11">
        <v>50</v>
      </c>
      <c r="F28" s="11">
        <v>104</v>
      </c>
      <c r="G28" s="11">
        <v>4</v>
      </c>
      <c r="H28" s="11">
        <v>30.44</v>
      </c>
      <c r="I28" s="11">
        <v>26.79</v>
      </c>
      <c r="J28" s="11">
        <v>12</v>
      </c>
      <c r="K28" s="11" t="s">
        <v>100</v>
      </c>
      <c r="L28" s="11"/>
      <c r="M28" s="11"/>
      <c r="N28" s="11" t="s">
        <v>1361</v>
      </c>
      <c r="O28" s="11">
        <v>72</v>
      </c>
      <c r="P28" s="11" t="s">
        <v>250</v>
      </c>
      <c r="Q28" s="11"/>
      <c r="R28" s="11"/>
      <c r="S28" s="11" t="s">
        <v>1458</v>
      </c>
      <c r="T28" s="12">
        <f t="shared" si="1"/>
        <v>15.528182157521464</v>
      </c>
      <c r="U28" s="10">
        <f t="shared" si="0"/>
        <v>416</v>
      </c>
    </row>
    <row r="29" spans="1:21" ht="16.5" customHeight="1" x14ac:dyDescent="0.2">
      <c r="A29" s="24" t="s">
        <v>276</v>
      </c>
      <c r="B29" s="10" t="s">
        <v>276</v>
      </c>
      <c r="C29" s="11" t="s">
        <v>26</v>
      </c>
      <c r="D29" s="11" t="s">
        <v>1461</v>
      </c>
      <c r="E29" s="11">
        <v>56</v>
      </c>
      <c r="F29" s="11">
        <v>156</v>
      </c>
      <c r="G29" s="11">
        <v>4</v>
      </c>
      <c r="H29" s="11">
        <v>28.92</v>
      </c>
      <c r="I29" s="11">
        <v>23.14</v>
      </c>
      <c r="J29" s="11">
        <v>25</v>
      </c>
      <c r="K29" s="11" t="s">
        <v>100</v>
      </c>
      <c r="L29" s="11"/>
      <c r="M29" s="11"/>
      <c r="N29" s="11" t="s">
        <v>1361</v>
      </c>
      <c r="O29" s="11">
        <v>72</v>
      </c>
      <c r="P29" s="11" t="s">
        <v>250</v>
      </c>
      <c r="Q29" s="11"/>
      <c r="R29" s="11" t="s">
        <v>1459</v>
      </c>
      <c r="S29" s="11" t="s">
        <v>1460</v>
      </c>
      <c r="T29" s="12">
        <f t="shared" si="1"/>
        <v>26.966292134831459</v>
      </c>
      <c r="U29" s="10">
        <f t="shared" si="0"/>
        <v>624</v>
      </c>
    </row>
    <row r="30" spans="1:21" ht="16.5" customHeight="1" x14ac:dyDescent="0.2">
      <c r="A30" s="24" t="s">
        <v>277</v>
      </c>
      <c r="B30" s="10" t="s">
        <v>277</v>
      </c>
      <c r="C30" s="11" t="s">
        <v>22</v>
      </c>
      <c r="D30" s="11" t="s">
        <v>1461</v>
      </c>
      <c r="E30" s="11">
        <v>52</v>
      </c>
      <c r="F30" s="11">
        <v>112</v>
      </c>
      <c r="G30" s="11">
        <v>4</v>
      </c>
      <c r="H30" s="11">
        <v>39.43</v>
      </c>
      <c r="I30" s="11">
        <v>34.96</v>
      </c>
      <c r="J30" s="11">
        <v>12</v>
      </c>
      <c r="K30" s="11" t="s">
        <v>100</v>
      </c>
      <c r="L30" s="11"/>
      <c r="M30" s="11"/>
      <c r="N30" s="11" t="s">
        <v>1363</v>
      </c>
      <c r="O30" s="11">
        <v>72</v>
      </c>
      <c r="P30" s="11" t="s">
        <v>21</v>
      </c>
      <c r="Q30" s="11"/>
      <c r="R30" s="11"/>
      <c r="S30" s="11" t="s">
        <v>1005</v>
      </c>
      <c r="T30" s="12">
        <f t="shared" si="1"/>
        <v>12.814645308924485</v>
      </c>
      <c r="U30" s="10">
        <f t="shared" si="0"/>
        <v>448</v>
      </c>
    </row>
    <row r="31" spans="1:21" ht="16.5" customHeight="1" x14ac:dyDescent="0.2">
      <c r="A31" s="24" t="s">
        <v>278</v>
      </c>
      <c r="B31" s="10" t="s">
        <v>278</v>
      </c>
      <c r="C31" s="11" t="s">
        <v>26</v>
      </c>
      <c r="D31" s="11" t="s">
        <v>1461</v>
      </c>
      <c r="E31" s="11">
        <v>58</v>
      </c>
      <c r="F31" s="11">
        <v>178</v>
      </c>
      <c r="G31" s="11">
        <v>4</v>
      </c>
      <c r="H31" s="11">
        <v>37.549999999999997</v>
      </c>
      <c r="I31" s="11">
        <v>30.04</v>
      </c>
      <c r="J31" s="11">
        <v>25</v>
      </c>
      <c r="K31" s="11" t="s">
        <v>100</v>
      </c>
      <c r="L31" s="11"/>
      <c r="M31" s="11"/>
      <c r="N31" s="11" t="s">
        <v>1363</v>
      </c>
      <c r="O31" s="11">
        <v>72</v>
      </c>
      <c r="P31" s="11" t="s">
        <v>21</v>
      </c>
      <c r="Q31" s="11"/>
      <c r="R31" s="11" t="s">
        <v>1369</v>
      </c>
      <c r="S31" s="11" t="s">
        <v>1006</v>
      </c>
      <c r="T31" s="12">
        <f t="shared" si="1"/>
        <v>23.701731025299601</v>
      </c>
      <c r="U31" s="10">
        <f t="shared" si="0"/>
        <v>712</v>
      </c>
    </row>
    <row r="32" spans="1:21" ht="16.5" customHeight="1" x14ac:dyDescent="0.2">
      <c r="A32" s="24" t="s">
        <v>279</v>
      </c>
      <c r="B32" s="10" t="s">
        <v>279</v>
      </c>
      <c r="C32" s="11" t="s">
        <v>37</v>
      </c>
      <c r="D32" s="11" t="s">
        <v>1461</v>
      </c>
      <c r="E32" s="11">
        <v>66</v>
      </c>
      <c r="F32" s="11">
        <v>206</v>
      </c>
      <c r="G32" s="11">
        <v>4</v>
      </c>
      <c r="H32" s="11">
        <v>35.67</v>
      </c>
      <c r="I32" s="11">
        <v>28.54</v>
      </c>
      <c r="J32" s="11">
        <v>45</v>
      </c>
      <c r="K32" s="11" t="s">
        <v>100</v>
      </c>
      <c r="L32" s="11"/>
      <c r="M32" s="11"/>
      <c r="N32" s="11" t="s">
        <v>1363</v>
      </c>
      <c r="O32" s="11">
        <v>72</v>
      </c>
      <c r="P32" s="11" t="s">
        <v>21</v>
      </c>
      <c r="Q32" s="11"/>
      <c r="R32" s="11" t="s">
        <v>1370</v>
      </c>
      <c r="S32" s="11" t="s">
        <v>1007</v>
      </c>
      <c r="T32" s="12">
        <f t="shared" si="1"/>
        <v>28.871758934828311</v>
      </c>
      <c r="U32" s="10">
        <f t="shared" si="0"/>
        <v>824</v>
      </c>
    </row>
    <row r="33" spans="1:21" ht="16.5" customHeight="1" x14ac:dyDescent="0.2">
      <c r="A33" s="24" t="s">
        <v>280</v>
      </c>
      <c r="B33" s="10" t="s">
        <v>280</v>
      </c>
      <c r="C33" s="11" t="s">
        <v>17</v>
      </c>
      <c r="D33" s="11" t="s">
        <v>452</v>
      </c>
      <c r="E33" s="11">
        <v>44</v>
      </c>
      <c r="F33" s="11">
        <v>62</v>
      </c>
      <c r="G33" s="11">
        <v>2</v>
      </c>
      <c r="H33" s="11">
        <v>22.61</v>
      </c>
      <c r="I33" s="11">
        <v>21.22</v>
      </c>
      <c r="J33" s="11">
        <v>5</v>
      </c>
      <c r="K33" s="11" t="s">
        <v>100</v>
      </c>
      <c r="L33" s="11">
        <v>50</v>
      </c>
      <c r="M33" s="11">
        <v>80</v>
      </c>
      <c r="N33" s="11" t="s">
        <v>1361</v>
      </c>
      <c r="O33" s="11">
        <v>0</v>
      </c>
      <c r="P33" s="11"/>
      <c r="Q33" s="11"/>
      <c r="R33" s="11"/>
      <c r="S33" s="11" t="s">
        <v>1008</v>
      </c>
      <c r="T33" s="12">
        <f t="shared" si="1"/>
        <v>5.8435438265787001</v>
      </c>
      <c r="U33" s="10">
        <f t="shared" si="0"/>
        <v>124</v>
      </c>
    </row>
    <row r="34" spans="1:21" ht="16.5" customHeight="1" x14ac:dyDescent="0.2">
      <c r="A34" s="24" t="s">
        <v>281</v>
      </c>
      <c r="B34" s="10" t="s">
        <v>281</v>
      </c>
      <c r="C34" s="11" t="s">
        <v>22</v>
      </c>
      <c r="D34" s="11" t="s">
        <v>452</v>
      </c>
      <c r="E34" s="11">
        <v>49</v>
      </c>
      <c r="F34" s="11">
        <v>91</v>
      </c>
      <c r="G34" s="11">
        <v>2</v>
      </c>
      <c r="H34" s="11">
        <v>21.61</v>
      </c>
      <c r="I34" s="11">
        <v>18.62</v>
      </c>
      <c r="J34" s="11">
        <v>12</v>
      </c>
      <c r="K34" s="11" t="s">
        <v>100</v>
      </c>
      <c r="L34" s="11">
        <v>50</v>
      </c>
      <c r="M34" s="11">
        <v>80</v>
      </c>
      <c r="N34" s="11" t="s">
        <v>1361</v>
      </c>
      <c r="O34" s="11">
        <v>0</v>
      </c>
      <c r="P34" s="11"/>
      <c r="Q34" s="11"/>
      <c r="R34" s="11" t="s">
        <v>1371</v>
      </c>
      <c r="S34" s="11" t="s">
        <v>1009</v>
      </c>
      <c r="T34" s="12">
        <f t="shared" si="1"/>
        <v>9.7744360902255636</v>
      </c>
      <c r="U34" s="10">
        <f t="shared" ref="U34:U52" si="2">F34*G34</f>
        <v>182</v>
      </c>
    </row>
    <row r="35" spans="1:21" ht="16.5" customHeight="1" x14ac:dyDescent="0.2">
      <c r="A35" s="24" t="s">
        <v>282</v>
      </c>
      <c r="B35" s="10" t="s">
        <v>282</v>
      </c>
      <c r="C35" s="11" t="s">
        <v>26</v>
      </c>
      <c r="D35" s="11" t="s">
        <v>452</v>
      </c>
      <c r="E35" s="11">
        <v>54</v>
      </c>
      <c r="F35" s="11">
        <v>135</v>
      </c>
      <c r="G35" s="11">
        <v>2</v>
      </c>
      <c r="H35" s="11">
        <v>20.62</v>
      </c>
      <c r="I35" s="11">
        <v>15.3</v>
      </c>
      <c r="J35" s="11">
        <v>25</v>
      </c>
      <c r="K35" s="11" t="s">
        <v>100</v>
      </c>
      <c r="L35" s="11">
        <v>50</v>
      </c>
      <c r="M35" s="11">
        <v>80</v>
      </c>
      <c r="N35" s="11" t="s">
        <v>1361</v>
      </c>
      <c r="O35" s="11">
        <v>0</v>
      </c>
      <c r="P35" s="11"/>
      <c r="Q35" s="11"/>
      <c r="R35" s="11" t="s">
        <v>1372</v>
      </c>
      <c r="S35" s="11" t="s">
        <v>1010</v>
      </c>
      <c r="T35" s="12">
        <f t="shared" si="1"/>
        <v>17.647058823529409</v>
      </c>
      <c r="U35" s="10">
        <f t="shared" si="2"/>
        <v>270</v>
      </c>
    </row>
    <row r="36" spans="1:21" ht="16.5" customHeight="1" x14ac:dyDescent="0.2">
      <c r="A36" s="25" t="s">
        <v>283</v>
      </c>
      <c r="B36" s="11" t="s">
        <v>283</v>
      </c>
      <c r="C36" s="11" t="s">
        <v>17</v>
      </c>
      <c r="D36" s="11" t="s">
        <v>452</v>
      </c>
      <c r="E36" s="11">
        <v>48</v>
      </c>
      <c r="F36" s="11">
        <v>69</v>
      </c>
      <c r="G36" s="11">
        <v>2</v>
      </c>
      <c r="H36" s="11">
        <v>23.28</v>
      </c>
      <c r="I36" s="11">
        <v>21.88</v>
      </c>
      <c r="J36" s="11">
        <v>5</v>
      </c>
      <c r="K36" s="11" t="s">
        <v>100</v>
      </c>
      <c r="L36" s="11">
        <v>50</v>
      </c>
      <c r="M36" s="11">
        <v>80</v>
      </c>
      <c r="N36" s="11" t="s">
        <v>1373</v>
      </c>
      <c r="O36" s="11">
        <v>0</v>
      </c>
      <c r="P36" s="11" t="s">
        <v>284</v>
      </c>
      <c r="Q36" s="11"/>
      <c r="R36" s="11" t="s">
        <v>285</v>
      </c>
      <c r="S36" s="11" t="s">
        <v>1011</v>
      </c>
      <c r="T36" s="12">
        <f t="shared" si="1"/>
        <v>6.3071297989031079</v>
      </c>
      <c r="U36" s="10">
        <f t="shared" si="2"/>
        <v>138</v>
      </c>
    </row>
    <row r="37" spans="1:21" ht="16.5" customHeight="1" x14ac:dyDescent="0.2">
      <c r="A37" s="25" t="s">
        <v>286</v>
      </c>
      <c r="B37" s="11" t="s">
        <v>286</v>
      </c>
      <c r="C37" s="11" t="s">
        <v>22</v>
      </c>
      <c r="D37" s="11" t="s">
        <v>452</v>
      </c>
      <c r="E37" s="11">
        <v>54</v>
      </c>
      <c r="F37" s="11">
        <v>102</v>
      </c>
      <c r="G37" s="11">
        <v>2</v>
      </c>
      <c r="H37" s="11">
        <v>22.28</v>
      </c>
      <c r="I37" s="11">
        <v>19.29</v>
      </c>
      <c r="J37" s="11">
        <v>12</v>
      </c>
      <c r="K37" s="11" t="s">
        <v>100</v>
      </c>
      <c r="L37" s="11">
        <v>50</v>
      </c>
      <c r="M37" s="11">
        <v>80</v>
      </c>
      <c r="N37" s="11" t="s">
        <v>1361</v>
      </c>
      <c r="O37" s="11">
        <v>0</v>
      </c>
      <c r="P37" s="11" t="s">
        <v>284</v>
      </c>
      <c r="Q37" s="11"/>
      <c r="R37" s="11" t="s">
        <v>1012</v>
      </c>
      <c r="S37" s="11" t="s">
        <v>1013</v>
      </c>
      <c r="T37" s="12">
        <f t="shared" si="1"/>
        <v>10.575427682737169</v>
      </c>
      <c r="U37" s="10">
        <f t="shared" si="2"/>
        <v>204</v>
      </c>
    </row>
    <row r="38" spans="1:21" ht="16.5" customHeight="1" x14ac:dyDescent="0.2">
      <c r="A38" s="24" t="s">
        <v>287</v>
      </c>
      <c r="B38" s="10" t="s">
        <v>287</v>
      </c>
      <c r="C38" s="11" t="s">
        <v>26</v>
      </c>
      <c r="D38" s="11" t="s">
        <v>452</v>
      </c>
      <c r="E38" s="11">
        <v>60</v>
      </c>
      <c r="F38" s="11">
        <v>150</v>
      </c>
      <c r="G38" s="11">
        <v>2</v>
      </c>
      <c r="H38" s="11">
        <v>21.28</v>
      </c>
      <c r="I38" s="11">
        <v>15.96</v>
      </c>
      <c r="J38" s="11">
        <v>25</v>
      </c>
      <c r="K38" s="11" t="s">
        <v>100</v>
      </c>
      <c r="L38" s="11">
        <v>50</v>
      </c>
      <c r="M38" s="11">
        <v>80</v>
      </c>
      <c r="N38" s="11" t="s">
        <v>1361</v>
      </c>
      <c r="O38" s="11">
        <v>0</v>
      </c>
      <c r="P38" s="11"/>
      <c r="Q38" s="11"/>
      <c r="R38" s="11" t="s">
        <v>1374</v>
      </c>
      <c r="S38" s="11" t="s">
        <v>1014</v>
      </c>
      <c r="T38" s="12">
        <f t="shared" si="1"/>
        <v>18.796992481203006</v>
      </c>
      <c r="U38" s="10">
        <f t="shared" si="2"/>
        <v>300</v>
      </c>
    </row>
    <row r="39" spans="1:21" ht="16.5" customHeight="1" x14ac:dyDescent="0.2">
      <c r="A39" s="24" t="s">
        <v>1375</v>
      </c>
      <c r="B39" s="10" t="s">
        <v>1375</v>
      </c>
      <c r="C39" s="11" t="s">
        <v>22</v>
      </c>
      <c r="D39" s="11" t="s">
        <v>452</v>
      </c>
      <c r="E39" s="11">
        <v>56</v>
      </c>
      <c r="F39" s="11">
        <v>104</v>
      </c>
      <c r="G39" s="11">
        <v>2</v>
      </c>
      <c r="H39" s="11">
        <v>21.95</v>
      </c>
      <c r="I39" s="11">
        <v>19.149999999999999</v>
      </c>
      <c r="J39" s="11">
        <v>12</v>
      </c>
      <c r="K39" s="11" t="s">
        <v>100</v>
      </c>
      <c r="L39" s="11">
        <v>60</v>
      </c>
      <c r="M39" s="11">
        <v>90</v>
      </c>
      <c r="N39" s="11" t="s">
        <v>1363</v>
      </c>
      <c r="O39" s="11">
        <v>0</v>
      </c>
      <c r="P39" s="11" t="s">
        <v>284</v>
      </c>
      <c r="Q39" s="11"/>
      <c r="R39" s="11" t="s">
        <v>1012</v>
      </c>
      <c r="S39" s="11" t="s">
        <v>1376</v>
      </c>
      <c r="T39" s="12">
        <f t="shared" si="1"/>
        <v>10.861618798955615</v>
      </c>
      <c r="U39" s="10">
        <f t="shared" si="2"/>
        <v>208</v>
      </c>
    </row>
    <row r="40" spans="1:21" ht="16.5" customHeight="1" x14ac:dyDescent="0.2">
      <c r="A40" s="24" t="s">
        <v>288</v>
      </c>
      <c r="B40" s="10" t="s">
        <v>288</v>
      </c>
      <c r="C40" s="11" t="s">
        <v>26</v>
      </c>
      <c r="D40" s="11" t="s">
        <v>452</v>
      </c>
      <c r="E40" s="11">
        <v>63</v>
      </c>
      <c r="F40" s="11">
        <v>157</v>
      </c>
      <c r="G40" s="11">
        <v>2</v>
      </c>
      <c r="H40" s="11">
        <v>20.95</v>
      </c>
      <c r="I40" s="11">
        <v>15.96</v>
      </c>
      <c r="J40" s="11">
        <v>25</v>
      </c>
      <c r="K40" s="11" t="s">
        <v>100</v>
      </c>
      <c r="L40" s="11">
        <v>60</v>
      </c>
      <c r="M40" s="11">
        <v>90</v>
      </c>
      <c r="N40" s="11" t="s">
        <v>1363</v>
      </c>
      <c r="O40" s="11">
        <v>0</v>
      </c>
      <c r="P40" s="11"/>
      <c r="Q40" s="11"/>
      <c r="R40" s="11" t="s">
        <v>1374</v>
      </c>
      <c r="S40" s="11" t="s">
        <v>1015</v>
      </c>
      <c r="T40" s="12">
        <f t="shared" si="1"/>
        <v>19.674185463659146</v>
      </c>
      <c r="U40" s="10">
        <f t="shared" si="2"/>
        <v>314</v>
      </c>
    </row>
    <row r="41" spans="1:21" ht="16.5" customHeight="1" x14ac:dyDescent="0.2">
      <c r="A41" s="24" t="s">
        <v>289</v>
      </c>
      <c r="B41" s="10" t="s">
        <v>289</v>
      </c>
      <c r="C41" s="11" t="s">
        <v>37</v>
      </c>
      <c r="D41" s="11" t="s">
        <v>452</v>
      </c>
      <c r="E41" s="11">
        <v>70</v>
      </c>
      <c r="F41" s="11">
        <v>174</v>
      </c>
      <c r="G41" s="11">
        <v>2</v>
      </c>
      <c r="H41" s="11">
        <v>19.95</v>
      </c>
      <c r="I41" s="11">
        <v>14.63</v>
      </c>
      <c r="J41" s="11">
        <v>45</v>
      </c>
      <c r="K41" s="11" t="s">
        <v>100</v>
      </c>
      <c r="L41" s="11">
        <v>60</v>
      </c>
      <c r="M41" s="11">
        <v>90</v>
      </c>
      <c r="N41" s="11" t="s">
        <v>1363</v>
      </c>
      <c r="O41" s="11">
        <v>0</v>
      </c>
      <c r="P41" s="11"/>
      <c r="Q41" s="11"/>
      <c r="R41" s="11" t="s">
        <v>1377</v>
      </c>
      <c r="S41" s="11" t="s">
        <v>1016</v>
      </c>
      <c r="T41" s="12">
        <f t="shared" si="1"/>
        <v>23.786739576213257</v>
      </c>
      <c r="U41" s="10">
        <f t="shared" si="2"/>
        <v>348</v>
      </c>
    </row>
    <row r="42" spans="1:21" ht="16.5" customHeight="1" x14ac:dyDescent="0.2">
      <c r="A42" s="24" t="s">
        <v>290</v>
      </c>
      <c r="B42" s="10" t="s">
        <v>290</v>
      </c>
      <c r="C42" s="11" t="s">
        <v>17</v>
      </c>
      <c r="D42" s="11" t="s">
        <v>452</v>
      </c>
      <c r="E42" s="11">
        <v>46</v>
      </c>
      <c r="F42" s="11">
        <v>66</v>
      </c>
      <c r="G42" s="11">
        <v>2</v>
      </c>
      <c r="H42" s="11">
        <v>21.95</v>
      </c>
      <c r="I42" s="11">
        <v>20.55</v>
      </c>
      <c r="J42" s="11">
        <v>5</v>
      </c>
      <c r="K42" s="11" t="s">
        <v>100</v>
      </c>
      <c r="L42" s="11">
        <v>50</v>
      </c>
      <c r="M42" s="11">
        <v>80</v>
      </c>
      <c r="N42" s="11" t="s">
        <v>1361</v>
      </c>
      <c r="O42" s="11">
        <v>0</v>
      </c>
      <c r="P42" s="11" t="s">
        <v>284</v>
      </c>
      <c r="Q42" s="11"/>
      <c r="R42" s="11" t="s">
        <v>285</v>
      </c>
      <c r="S42" s="11" t="s">
        <v>1017</v>
      </c>
      <c r="T42" s="12">
        <f t="shared" si="1"/>
        <v>6.4233576642335768</v>
      </c>
      <c r="U42" s="10">
        <f t="shared" si="2"/>
        <v>132</v>
      </c>
    </row>
    <row r="43" spans="1:21" ht="16.5" customHeight="1" x14ac:dyDescent="0.2">
      <c r="A43" s="24" t="s">
        <v>291</v>
      </c>
      <c r="B43" s="10" t="s">
        <v>291</v>
      </c>
      <c r="C43" s="11" t="s">
        <v>22</v>
      </c>
      <c r="D43" s="11" t="s">
        <v>452</v>
      </c>
      <c r="E43" s="11">
        <v>52</v>
      </c>
      <c r="F43" s="11">
        <v>98</v>
      </c>
      <c r="G43" s="11">
        <v>2</v>
      </c>
      <c r="H43" s="11">
        <v>20.95</v>
      </c>
      <c r="I43" s="11">
        <v>17.96</v>
      </c>
      <c r="J43" s="11">
        <v>12</v>
      </c>
      <c r="K43" s="11" t="s">
        <v>100</v>
      </c>
      <c r="L43" s="11">
        <v>50</v>
      </c>
      <c r="M43" s="11">
        <v>80</v>
      </c>
      <c r="N43" s="11" t="s">
        <v>1361</v>
      </c>
      <c r="O43" s="11">
        <v>0</v>
      </c>
      <c r="P43" s="11" t="s">
        <v>284</v>
      </c>
      <c r="Q43" s="11"/>
      <c r="R43" s="11" t="s">
        <v>1018</v>
      </c>
      <c r="S43" s="11" t="s">
        <v>1019</v>
      </c>
      <c r="T43" s="12">
        <f t="shared" si="1"/>
        <v>10.913140311804009</v>
      </c>
      <c r="U43" s="10">
        <f t="shared" si="2"/>
        <v>196</v>
      </c>
    </row>
    <row r="44" spans="1:21" ht="16.5" customHeight="1" x14ac:dyDescent="0.2">
      <c r="A44" s="24" t="s">
        <v>292</v>
      </c>
      <c r="B44" s="10" t="s">
        <v>292</v>
      </c>
      <c r="C44" s="11" t="s">
        <v>26</v>
      </c>
      <c r="D44" s="11" t="s">
        <v>452</v>
      </c>
      <c r="E44" s="11">
        <v>58</v>
      </c>
      <c r="F44" s="11">
        <v>144</v>
      </c>
      <c r="G44" s="11">
        <v>2</v>
      </c>
      <c r="H44" s="11">
        <v>19.95</v>
      </c>
      <c r="I44" s="11">
        <v>14.63</v>
      </c>
      <c r="J44" s="11">
        <v>25</v>
      </c>
      <c r="K44" s="11" t="s">
        <v>100</v>
      </c>
      <c r="L44" s="11">
        <v>50</v>
      </c>
      <c r="M44" s="11">
        <v>80</v>
      </c>
      <c r="N44" s="11" t="s">
        <v>1361</v>
      </c>
      <c r="O44" s="11">
        <v>0</v>
      </c>
      <c r="P44" s="11"/>
      <c r="Q44" s="11"/>
      <c r="R44" s="11" t="s">
        <v>1378</v>
      </c>
      <c r="S44" s="11" t="s">
        <v>1020</v>
      </c>
      <c r="T44" s="12">
        <f t="shared" si="1"/>
        <v>19.685577580314423</v>
      </c>
      <c r="U44" s="10">
        <f t="shared" si="2"/>
        <v>288</v>
      </c>
    </row>
    <row r="45" spans="1:21" ht="16.5" customHeight="1" x14ac:dyDescent="0.2">
      <c r="A45" s="24" t="s">
        <v>293</v>
      </c>
      <c r="B45" s="10" t="s">
        <v>293</v>
      </c>
      <c r="C45" s="11" t="s">
        <v>22</v>
      </c>
      <c r="D45" s="11" t="s">
        <v>452</v>
      </c>
      <c r="E45" s="11">
        <v>52</v>
      </c>
      <c r="F45" s="11">
        <v>98</v>
      </c>
      <c r="G45" s="11">
        <v>2</v>
      </c>
      <c r="H45" s="11">
        <v>20.28</v>
      </c>
      <c r="I45" s="11">
        <v>17.690000000000001</v>
      </c>
      <c r="J45" s="11">
        <v>12</v>
      </c>
      <c r="K45" s="11" t="s">
        <v>244</v>
      </c>
      <c r="L45" s="11">
        <v>50</v>
      </c>
      <c r="M45" s="11">
        <v>80</v>
      </c>
      <c r="N45" s="11" t="s">
        <v>1361</v>
      </c>
      <c r="O45" s="11">
        <v>0</v>
      </c>
      <c r="P45" s="11" t="s">
        <v>284</v>
      </c>
      <c r="Q45" s="11"/>
      <c r="R45" s="11" t="s">
        <v>1012</v>
      </c>
      <c r="S45" s="11" t="s">
        <v>1021</v>
      </c>
      <c r="T45" s="12">
        <f t="shared" si="1"/>
        <v>11.079706048615035</v>
      </c>
      <c r="U45" s="10">
        <f t="shared" si="2"/>
        <v>196</v>
      </c>
    </row>
    <row r="46" spans="1:21" ht="16.5" customHeight="1" x14ac:dyDescent="0.2">
      <c r="A46" s="24" t="s">
        <v>294</v>
      </c>
      <c r="B46" s="10" t="s">
        <v>294</v>
      </c>
      <c r="C46" s="11" t="s">
        <v>26</v>
      </c>
      <c r="D46" s="11" t="s">
        <v>452</v>
      </c>
      <c r="E46" s="11">
        <v>58</v>
      </c>
      <c r="F46" s="11">
        <v>144</v>
      </c>
      <c r="G46" s="11">
        <v>2</v>
      </c>
      <c r="H46" s="11">
        <v>19.29</v>
      </c>
      <c r="I46" s="11">
        <v>14.63</v>
      </c>
      <c r="J46" s="11">
        <v>25</v>
      </c>
      <c r="K46" s="11" t="s">
        <v>244</v>
      </c>
      <c r="L46" s="11">
        <v>50</v>
      </c>
      <c r="M46" s="11">
        <v>80</v>
      </c>
      <c r="N46" s="11" t="s">
        <v>1361</v>
      </c>
      <c r="O46" s="11">
        <v>0</v>
      </c>
      <c r="P46" s="11"/>
      <c r="Q46" s="11"/>
      <c r="R46" s="11" t="s">
        <v>1379</v>
      </c>
      <c r="S46" s="11" t="s">
        <v>1022</v>
      </c>
      <c r="T46" s="12">
        <f t="shared" si="1"/>
        <v>19.685577580314423</v>
      </c>
      <c r="U46" s="10">
        <f t="shared" si="2"/>
        <v>288</v>
      </c>
    </row>
    <row r="47" spans="1:21" ht="16.5" customHeight="1" x14ac:dyDescent="0.2">
      <c r="A47" s="24" t="s">
        <v>295</v>
      </c>
      <c r="B47" s="10" t="s">
        <v>295</v>
      </c>
      <c r="C47" s="11" t="s">
        <v>37</v>
      </c>
      <c r="D47" s="11" t="s">
        <v>452</v>
      </c>
      <c r="E47" s="11">
        <v>64</v>
      </c>
      <c r="F47" s="11">
        <v>160</v>
      </c>
      <c r="G47" s="11">
        <v>2</v>
      </c>
      <c r="H47" s="11">
        <v>18.29</v>
      </c>
      <c r="I47" s="11">
        <v>13.3</v>
      </c>
      <c r="J47" s="11">
        <v>45</v>
      </c>
      <c r="K47" s="11" t="s">
        <v>244</v>
      </c>
      <c r="L47" s="11">
        <v>50</v>
      </c>
      <c r="M47" s="11">
        <v>80</v>
      </c>
      <c r="N47" s="11" t="s">
        <v>1361</v>
      </c>
      <c r="O47" s="11">
        <v>0</v>
      </c>
      <c r="P47" s="11"/>
      <c r="Q47" s="11"/>
      <c r="R47" s="11" t="s">
        <v>1012</v>
      </c>
      <c r="S47" s="11" t="s">
        <v>1023</v>
      </c>
      <c r="T47" s="12">
        <f t="shared" si="1"/>
        <v>24.060150375939848</v>
      </c>
      <c r="U47" s="10">
        <f t="shared" si="2"/>
        <v>320</v>
      </c>
    </row>
    <row r="48" spans="1:21" ht="16.5" customHeight="1" x14ac:dyDescent="0.2">
      <c r="A48" s="24" t="s">
        <v>296</v>
      </c>
      <c r="B48" s="10" t="s">
        <v>296</v>
      </c>
      <c r="C48" s="11" t="s">
        <v>17</v>
      </c>
      <c r="D48" s="11" t="s">
        <v>452</v>
      </c>
      <c r="E48" s="11">
        <v>42</v>
      </c>
      <c r="F48" s="11">
        <v>60</v>
      </c>
      <c r="G48" s="11">
        <v>3</v>
      </c>
      <c r="H48" s="11">
        <v>33.92</v>
      </c>
      <c r="I48" s="11">
        <v>32.32</v>
      </c>
      <c r="J48" s="11">
        <v>5</v>
      </c>
      <c r="K48" s="11" t="s">
        <v>100</v>
      </c>
      <c r="L48" s="11">
        <v>50</v>
      </c>
      <c r="M48" s="11">
        <v>80</v>
      </c>
      <c r="N48" s="11" t="s">
        <v>1361</v>
      </c>
      <c r="O48" s="11">
        <v>0</v>
      </c>
      <c r="P48" s="11" t="s">
        <v>284</v>
      </c>
      <c r="Q48" s="11"/>
      <c r="R48" s="11" t="s">
        <v>285</v>
      </c>
      <c r="S48" s="11" t="s">
        <v>1024</v>
      </c>
      <c r="T48" s="12">
        <f t="shared" si="1"/>
        <v>5.5693069306930694</v>
      </c>
      <c r="U48" s="10">
        <f t="shared" si="2"/>
        <v>180</v>
      </c>
    </row>
    <row r="49" spans="1:21" ht="16.5" customHeight="1" x14ac:dyDescent="0.2">
      <c r="A49" s="24" t="s">
        <v>297</v>
      </c>
      <c r="B49" s="10" t="s">
        <v>297</v>
      </c>
      <c r="C49" s="11" t="s">
        <v>22</v>
      </c>
      <c r="D49" s="11" t="s">
        <v>452</v>
      </c>
      <c r="E49" s="11">
        <v>47</v>
      </c>
      <c r="F49" s="11">
        <v>88</v>
      </c>
      <c r="G49" s="11">
        <v>3</v>
      </c>
      <c r="H49" s="11">
        <v>32.92</v>
      </c>
      <c r="I49" s="11">
        <v>29.93</v>
      </c>
      <c r="J49" s="11">
        <v>12</v>
      </c>
      <c r="K49" s="11" t="s">
        <v>100</v>
      </c>
      <c r="L49" s="11">
        <v>50</v>
      </c>
      <c r="M49" s="11">
        <v>80</v>
      </c>
      <c r="N49" s="11" t="s">
        <v>1361</v>
      </c>
      <c r="O49" s="11">
        <v>0</v>
      </c>
      <c r="P49" s="11" t="s">
        <v>284</v>
      </c>
      <c r="Q49" s="11"/>
      <c r="R49" s="11" t="s">
        <v>1380</v>
      </c>
      <c r="S49" s="11" t="s">
        <v>1025</v>
      </c>
      <c r="T49" s="12">
        <f t="shared" si="1"/>
        <v>8.8205813564984972</v>
      </c>
      <c r="U49" s="10">
        <f t="shared" si="2"/>
        <v>264</v>
      </c>
    </row>
    <row r="50" spans="1:21" ht="16.5" customHeight="1" x14ac:dyDescent="0.2">
      <c r="A50" s="24" t="s">
        <v>298</v>
      </c>
      <c r="B50" s="10" t="s">
        <v>298</v>
      </c>
      <c r="C50" s="11" t="s">
        <v>26</v>
      </c>
      <c r="D50" s="11" t="s">
        <v>452</v>
      </c>
      <c r="E50" s="11">
        <v>52</v>
      </c>
      <c r="F50" s="11">
        <v>131</v>
      </c>
      <c r="G50" s="11">
        <v>3</v>
      </c>
      <c r="H50" s="11">
        <v>31.92</v>
      </c>
      <c r="I50" s="11">
        <v>25.94</v>
      </c>
      <c r="J50" s="11">
        <v>25</v>
      </c>
      <c r="K50" s="11" t="s">
        <v>100</v>
      </c>
      <c r="L50" s="11">
        <v>50</v>
      </c>
      <c r="M50" s="11">
        <v>80</v>
      </c>
      <c r="N50" s="11" t="s">
        <v>1361</v>
      </c>
      <c r="O50" s="11">
        <v>0</v>
      </c>
      <c r="P50" s="11"/>
      <c r="Q50" s="11"/>
      <c r="R50" s="11" t="s">
        <v>1381</v>
      </c>
      <c r="S50" s="11" t="s">
        <v>1026</v>
      </c>
      <c r="T50" s="12">
        <f t="shared" si="1"/>
        <v>15.150346954510407</v>
      </c>
      <c r="U50" s="10">
        <f t="shared" si="2"/>
        <v>393</v>
      </c>
    </row>
    <row r="51" spans="1:21" ht="16.5" customHeight="1" x14ac:dyDescent="0.2">
      <c r="A51" s="24" t="s">
        <v>299</v>
      </c>
      <c r="B51" s="10" t="s">
        <v>299</v>
      </c>
      <c r="C51" s="11" t="s">
        <v>22</v>
      </c>
      <c r="D51" s="11" t="s">
        <v>452</v>
      </c>
      <c r="E51" s="11">
        <v>58</v>
      </c>
      <c r="F51" s="11">
        <v>109</v>
      </c>
      <c r="G51" s="11">
        <v>3</v>
      </c>
      <c r="H51" s="11">
        <v>33.25</v>
      </c>
      <c r="I51" s="11">
        <v>33.99</v>
      </c>
      <c r="J51" s="11">
        <v>12</v>
      </c>
      <c r="K51" s="11" t="s">
        <v>100</v>
      </c>
      <c r="L51" s="11">
        <v>50</v>
      </c>
      <c r="M51" s="11">
        <v>80</v>
      </c>
      <c r="N51" s="11" t="s">
        <v>1361</v>
      </c>
      <c r="O51" s="11">
        <v>0</v>
      </c>
      <c r="P51" s="11" t="s">
        <v>284</v>
      </c>
      <c r="Q51" s="11"/>
      <c r="R51" s="11" t="s">
        <v>1012</v>
      </c>
      <c r="S51" s="11" t="s">
        <v>1027</v>
      </c>
      <c r="T51" s="12">
        <f t="shared" si="1"/>
        <v>9.6204766107678719</v>
      </c>
      <c r="U51" s="10">
        <f t="shared" si="2"/>
        <v>327</v>
      </c>
    </row>
    <row r="52" spans="1:21" ht="16.5" customHeight="1" x14ac:dyDescent="0.2">
      <c r="A52" s="24" t="s">
        <v>300</v>
      </c>
      <c r="B52" s="10" t="s">
        <v>300</v>
      </c>
      <c r="C52" s="11" t="s">
        <v>26</v>
      </c>
      <c r="D52" s="11" t="s">
        <v>452</v>
      </c>
      <c r="E52" s="11">
        <v>65</v>
      </c>
      <c r="F52" s="11">
        <v>163</v>
      </c>
      <c r="G52" s="11">
        <v>3</v>
      </c>
      <c r="H52" s="11">
        <v>31.92</v>
      </c>
      <c r="I52" s="11">
        <v>26.27</v>
      </c>
      <c r="J52" s="11">
        <v>25</v>
      </c>
      <c r="K52" s="11" t="s">
        <v>100</v>
      </c>
      <c r="L52" s="11">
        <v>50</v>
      </c>
      <c r="M52" s="11">
        <v>80</v>
      </c>
      <c r="N52" s="11" t="s">
        <v>1361</v>
      </c>
      <c r="O52" s="11">
        <v>0</v>
      </c>
      <c r="P52" s="11"/>
      <c r="Q52" s="11"/>
      <c r="R52" s="11" t="s">
        <v>1382</v>
      </c>
      <c r="S52" s="11" t="s">
        <v>1028</v>
      </c>
      <c r="T52" s="12">
        <f t="shared" si="1"/>
        <v>18.614389036924248</v>
      </c>
      <c r="U52" s="10">
        <f t="shared" si="2"/>
        <v>489</v>
      </c>
    </row>
    <row r="53" spans="1:21" ht="16.5" customHeight="1" x14ac:dyDescent="0.2">
      <c r="A53" s="24" t="s">
        <v>301</v>
      </c>
      <c r="B53" s="10" t="s">
        <v>301</v>
      </c>
      <c r="C53" s="11" t="s">
        <v>37</v>
      </c>
      <c r="D53" s="11" t="s">
        <v>452</v>
      </c>
      <c r="E53" s="11">
        <v>72</v>
      </c>
      <c r="F53" s="11">
        <v>181</v>
      </c>
      <c r="G53" s="11">
        <v>3</v>
      </c>
      <c r="H53" s="11">
        <v>30.59</v>
      </c>
      <c r="I53" s="11">
        <v>24.61</v>
      </c>
      <c r="J53" s="11">
        <v>45</v>
      </c>
      <c r="K53" s="11" t="s">
        <v>100</v>
      </c>
      <c r="L53" s="11">
        <v>50</v>
      </c>
      <c r="M53" s="11">
        <v>80</v>
      </c>
      <c r="N53" s="11" t="s">
        <v>1361</v>
      </c>
      <c r="O53" s="11">
        <v>0</v>
      </c>
      <c r="P53" s="11"/>
      <c r="Q53" s="11"/>
      <c r="R53" s="11" t="s">
        <v>1383</v>
      </c>
      <c r="S53" s="11" t="s">
        <v>1029</v>
      </c>
      <c r="T53" s="12">
        <f t="shared" ref="T53" si="3">F53*G53/I53</f>
        <v>22.064201544087769</v>
      </c>
      <c r="U53" s="10">
        <f t="shared" ref="U53" si="4">F53*G53</f>
        <v>543</v>
      </c>
    </row>
    <row r="54" spans="1:21" ht="16.5" customHeight="1" x14ac:dyDescent="0.2">
      <c r="A54" s="24"/>
      <c r="B54" s="10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2"/>
      <c r="U54" s="10"/>
    </row>
    <row r="55" spans="1:21" ht="16.5" customHeight="1" x14ac:dyDescent="0.2">
      <c r="A55" s="24"/>
      <c r="B55" s="10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2"/>
      <c r="U55" s="10"/>
    </row>
    <row r="56" spans="1:21" ht="16.5" customHeight="1" x14ac:dyDescent="0.2">
      <c r="A56" s="24"/>
      <c r="B56" s="10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2"/>
      <c r="U56" s="10"/>
    </row>
    <row r="57" spans="1:21" ht="16.5" customHeight="1" x14ac:dyDescent="0.2">
      <c r="A57" s="24"/>
      <c r="B57" s="10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2"/>
      <c r="U57" s="10"/>
    </row>
    <row r="1048530" spans="2:2" x14ac:dyDescent="0.2">
      <c r="B1048530" s="4"/>
    </row>
    <row r="1048531" spans="2:2" x14ac:dyDescent="0.2">
      <c r="B1048531" s="1"/>
    </row>
    <row r="1048532" spans="2:2" x14ac:dyDescent="0.2">
      <c r="B1048532" s="1"/>
    </row>
    <row r="1048533" spans="2:2" x14ac:dyDescent="0.2">
      <c r="B1048533" s="1"/>
    </row>
    <row r="1048534" spans="2:2" x14ac:dyDescent="0.2">
      <c r="B1048534" s="1"/>
    </row>
    <row r="1048535" spans="2:2" x14ac:dyDescent="0.2">
      <c r="B1048535" s="1"/>
    </row>
    <row r="1048536" spans="2:2" x14ac:dyDescent="0.2">
      <c r="B1048536" s="1"/>
    </row>
  </sheetData>
  <autoFilter ref="A1:U52"/>
  <phoneticPr fontId="1" type="noConversion"/>
  <conditionalFormatting sqref="C1:C51 C58:C1048576">
    <cfRule type="cellIs" dxfId="26" priority="9" operator="equal">
      <formula>"彩色"</formula>
    </cfRule>
    <cfRule type="cellIs" dxfId="25" priority="13" operator="equal">
      <formula>"紫色"</formula>
    </cfRule>
    <cfRule type="cellIs" dxfId="24" priority="14" operator="equal">
      <formula>"金色"</formula>
    </cfRule>
    <cfRule type="cellIs" dxfId="23" priority="15" operator="equal">
      <formula>"蓝色"</formula>
    </cfRule>
  </conditionalFormatting>
  <conditionalFormatting sqref="C52 C55:C57">
    <cfRule type="cellIs" dxfId="22" priority="5" operator="equal">
      <formula>"彩色"</formula>
    </cfRule>
    <cfRule type="cellIs" dxfId="21" priority="6" operator="equal">
      <formula>"紫色"</formula>
    </cfRule>
    <cfRule type="cellIs" dxfId="20" priority="7" operator="equal">
      <formula>"金色"</formula>
    </cfRule>
    <cfRule type="cellIs" dxfId="19" priority="8" operator="equal">
      <formula>"蓝色"</formula>
    </cfRule>
  </conditionalFormatting>
  <conditionalFormatting sqref="C53:C54">
    <cfRule type="cellIs" dxfId="18" priority="1" operator="equal">
      <formula>"彩色"</formula>
    </cfRule>
    <cfRule type="cellIs" dxfId="17" priority="2" operator="equal">
      <formula>"紫色"</formula>
    </cfRule>
    <cfRule type="cellIs" dxfId="16" priority="3" operator="equal">
      <formula>"金色"</formula>
    </cfRule>
    <cfRule type="cellIs" dxfId="15" priority="4" operator="equal">
      <formula>"蓝色"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08"/>
  <sheetViews>
    <sheetView workbookViewId="0">
      <selection activeCell="I15" sqref="I15"/>
    </sheetView>
  </sheetViews>
  <sheetFormatPr defaultRowHeight="14.25" x14ac:dyDescent="0.2"/>
  <cols>
    <col min="1" max="1" width="3.375" style="6" customWidth="1"/>
    <col min="2" max="2" width="25.75" style="6" customWidth="1"/>
    <col min="3" max="16384" width="9" style="6"/>
  </cols>
  <sheetData>
    <row r="1" spans="1:15" s="5" customFormat="1" x14ac:dyDescent="0.2">
      <c r="B1" s="4" t="s">
        <v>0</v>
      </c>
      <c r="C1" s="4" t="s">
        <v>1</v>
      </c>
      <c r="D1" s="4" t="s">
        <v>302</v>
      </c>
      <c r="E1" s="4" t="s">
        <v>3</v>
      </c>
      <c r="F1" s="4" t="s">
        <v>4</v>
      </c>
      <c r="G1" s="4" t="s">
        <v>6</v>
      </c>
      <c r="H1" s="4" t="s">
        <v>7</v>
      </c>
      <c r="I1" s="4" t="s">
        <v>304</v>
      </c>
      <c r="J1" s="4" t="s">
        <v>170</v>
      </c>
      <c r="K1" s="4" t="s">
        <v>1327</v>
      </c>
      <c r="L1" s="4" t="s">
        <v>303</v>
      </c>
      <c r="M1" s="4" t="s">
        <v>14</v>
      </c>
      <c r="N1" s="4" t="s">
        <v>15</v>
      </c>
      <c r="O1" s="4" t="s">
        <v>16</v>
      </c>
    </row>
    <row r="2" spans="1:15" ht="17.25" customHeight="1" x14ac:dyDescent="0.2">
      <c r="A2" s="22" t="s">
        <v>305</v>
      </c>
      <c r="B2" s="1" t="s">
        <v>305</v>
      </c>
      <c r="C2" s="1" t="s">
        <v>17</v>
      </c>
      <c r="D2" s="1" t="s">
        <v>306</v>
      </c>
      <c r="E2" s="1" t="s">
        <v>479</v>
      </c>
      <c r="F2" s="1" t="s">
        <v>479</v>
      </c>
      <c r="G2" s="1">
        <v>11.97</v>
      </c>
      <c r="H2" s="1">
        <v>11.43</v>
      </c>
      <c r="I2" s="1">
        <v>5</v>
      </c>
      <c r="J2" s="1" t="s">
        <v>307</v>
      </c>
      <c r="K2" s="1">
        <v>50</v>
      </c>
      <c r="L2" s="7">
        <v>0.08</v>
      </c>
      <c r="M2" s="1" t="s">
        <v>65</v>
      </c>
      <c r="N2" s="1"/>
      <c r="O2" s="1" t="s">
        <v>1030</v>
      </c>
    </row>
    <row r="3" spans="1:15" ht="17.25" customHeight="1" x14ac:dyDescent="0.2">
      <c r="A3" s="22" t="s">
        <v>308</v>
      </c>
      <c r="B3" s="1" t="s">
        <v>308</v>
      </c>
      <c r="C3" s="1" t="s">
        <v>22</v>
      </c>
      <c r="D3" s="1" t="s">
        <v>306</v>
      </c>
      <c r="E3" s="1" t="s">
        <v>479</v>
      </c>
      <c r="F3" s="1" t="s">
        <v>479</v>
      </c>
      <c r="G3" s="1">
        <v>11.71</v>
      </c>
      <c r="H3" s="1">
        <v>10.63</v>
      </c>
      <c r="I3" s="1">
        <v>12</v>
      </c>
      <c r="J3" s="1" t="s">
        <v>307</v>
      </c>
      <c r="K3" s="1">
        <v>50</v>
      </c>
      <c r="L3" s="8">
        <v>8.5000000000000006E-2</v>
      </c>
      <c r="M3" s="1" t="s">
        <v>65</v>
      </c>
      <c r="N3" s="1" t="s">
        <v>1031</v>
      </c>
      <c r="O3" s="1" t="s">
        <v>1032</v>
      </c>
    </row>
    <row r="4" spans="1:15" ht="17.25" customHeight="1" x14ac:dyDescent="0.2">
      <c r="A4" s="22" t="s">
        <v>309</v>
      </c>
      <c r="B4" s="1" t="s">
        <v>309</v>
      </c>
      <c r="C4" s="1" t="s">
        <v>26</v>
      </c>
      <c r="D4" s="1" t="s">
        <v>306</v>
      </c>
      <c r="E4" s="1" t="s">
        <v>479</v>
      </c>
      <c r="F4" s="1" t="s">
        <v>479</v>
      </c>
      <c r="G4" s="1">
        <v>11.44</v>
      </c>
      <c r="H4" s="1">
        <v>9.7799999999999994</v>
      </c>
      <c r="I4" s="1">
        <v>25</v>
      </c>
      <c r="J4" s="1" t="s">
        <v>307</v>
      </c>
      <c r="K4" s="1">
        <v>50</v>
      </c>
      <c r="L4" s="7">
        <v>0.09</v>
      </c>
      <c r="M4" s="1" t="s">
        <v>65</v>
      </c>
      <c r="N4" s="1" t="s">
        <v>1033</v>
      </c>
      <c r="O4" s="1" t="s">
        <v>1034</v>
      </c>
    </row>
    <row r="5" spans="1:15" ht="17.25" customHeight="1" x14ac:dyDescent="0.2">
      <c r="A5" s="22" t="s">
        <v>310</v>
      </c>
      <c r="B5" s="1" t="s">
        <v>310</v>
      </c>
      <c r="C5" s="1" t="s">
        <v>22</v>
      </c>
      <c r="D5" s="1" t="s">
        <v>311</v>
      </c>
      <c r="E5" s="1" t="s">
        <v>479</v>
      </c>
      <c r="F5" s="1" t="s">
        <v>479</v>
      </c>
      <c r="G5" s="1">
        <v>15.4</v>
      </c>
      <c r="H5" s="1">
        <v>14.68</v>
      </c>
      <c r="I5" s="1">
        <v>12</v>
      </c>
      <c r="J5" s="1" t="s">
        <v>313</v>
      </c>
      <c r="K5" s="1">
        <v>45</v>
      </c>
      <c r="L5" s="8">
        <v>1.6E-2</v>
      </c>
      <c r="M5" s="1" t="s">
        <v>24</v>
      </c>
      <c r="N5" s="1"/>
      <c r="O5" s="1" t="s">
        <v>1035</v>
      </c>
    </row>
    <row r="6" spans="1:15" ht="17.25" customHeight="1" x14ac:dyDescent="0.2">
      <c r="A6" s="22" t="s">
        <v>314</v>
      </c>
      <c r="B6" s="1" t="s">
        <v>314</v>
      </c>
      <c r="C6" s="1" t="s">
        <v>26</v>
      </c>
      <c r="D6" s="1" t="s">
        <v>311</v>
      </c>
      <c r="E6" s="1" t="s">
        <v>479</v>
      </c>
      <c r="F6" s="1" t="s">
        <v>479</v>
      </c>
      <c r="G6" s="1">
        <v>14.55</v>
      </c>
      <c r="H6" s="1">
        <v>12.02</v>
      </c>
      <c r="I6" s="1">
        <v>25</v>
      </c>
      <c r="J6" s="1" t="s">
        <v>313</v>
      </c>
      <c r="K6" s="1">
        <v>45</v>
      </c>
      <c r="L6" s="8">
        <v>1.7999999999999999E-2</v>
      </c>
      <c r="M6" s="1" t="s">
        <v>24</v>
      </c>
      <c r="N6" s="1" t="s">
        <v>1328</v>
      </c>
      <c r="O6" s="1" t="s">
        <v>1036</v>
      </c>
    </row>
    <row r="7" spans="1:15" ht="17.25" customHeight="1" x14ac:dyDescent="0.2">
      <c r="A7" s="22" t="s">
        <v>315</v>
      </c>
      <c r="B7" s="1" t="s">
        <v>315</v>
      </c>
      <c r="C7" s="1" t="s">
        <v>37</v>
      </c>
      <c r="D7" s="1" t="s">
        <v>311</v>
      </c>
      <c r="E7" s="1" t="s">
        <v>479</v>
      </c>
      <c r="F7" s="1" t="s">
        <v>479</v>
      </c>
      <c r="G7" s="1">
        <v>14.23</v>
      </c>
      <c r="H7" s="1">
        <v>11.71</v>
      </c>
      <c r="I7" s="1">
        <v>45</v>
      </c>
      <c r="J7" s="1" t="s">
        <v>313</v>
      </c>
      <c r="K7" s="1">
        <v>45</v>
      </c>
      <c r="L7" s="7">
        <v>0.02</v>
      </c>
      <c r="M7" s="1" t="s">
        <v>24</v>
      </c>
      <c r="N7" s="1" t="s">
        <v>1329</v>
      </c>
      <c r="O7" s="1" t="s">
        <v>1037</v>
      </c>
    </row>
    <row r="8" spans="1:15" ht="17.25" customHeight="1" x14ac:dyDescent="0.2">
      <c r="A8" s="22" t="s">
        <v>316</v>
      </c>
      <c r="B8" s="1" t="s">
        <v>316</v>
      </c>
      <c r="C8" s="1" t="s">
        <v>37</v>
      </c>
      <c r="D8" s="1" t="s">
        <v>306</v>
      </c>
      <c r="E8" s="1" t="s">
        <v>479</v>
      </c>
      <c r="F8" s="1" t="s">
        <v>479</v>
      </c>
      <c r="G8" s="1">
        <v>11.11</v>
      </c>
      <c r="H8" s="1">
        <v>9.44</v>
      </c>
      <c r="I8" s="1">
        <v>45</v>
      </c>
      <c r="J8" s="1" t="s">
        <v>307</v>
      </c>
      <c r="K8" s="1">
        <v>45</v>
      </c>
      <c r="L8" s="7">
        <v>0.1</v>
      </c>
      <c r="M8" s="1" t="s">
        <v>156</v>
      </c>
      <c r="N8" s="1"/>
      <c r="O8" s="1" t="s">
        <v>1038</v>
      </c>
    </row>
    <row r="9" spans="1:15" ht="17.25" customHeight="1" x14ac:dyDescent="0.2">
      <c r="A9" s="22" t="s">
        <v>317</v>
      </c>
      <c r="B9" s="1" t="s">
        <v>317</v>
      </c>
      <c r="C9" s="1" t="s">
        <v>17</v>
      </c>
      <c r="D9" s="1" t="s">
        <v>306</v>
      </c>
      <c r="E9" s="1" t="s">
        <v>479</v>
      </c>
      <c r="F9" s="1" t="s">
        <v>479</v>
      </c>
      <c r="G9" s="1">
        <v>13.27</v>
      </c>
      <c r="H9" s="1">
        <v>12.8</v>
      </c>
      <c r="I9" s="1">
        <v>0</v>
      </c>
      <c r="J9" s="1" t="s">
        <v>307</v>
      </c>
      <c r="K9" s="1">
        <v>45</v>
      </c>
      <c r="L9" s="7">
        <v>0.08</v>
      </c>
      <c r="M9" s="1" t="s">
        <v>24</v>
      </c>
      <c r="N9" s="1"/>
      <c r="O9" s="1" t="s">
        <v>1039</v>
      </c>
    </row>
    <row r="10" spans="1:15" ht="17.25" customHeight="1" x14ac:dyDescent="0.2">
      <c r="A10" s="22" t="s">
        <v>318</v>
      </c>
      <c r="B10" s="1" t="s">
        <v>318</v>
      </c>
      <c r="C10" s="1" t="s">
        <v>17</v>
      </c>
      <c r="D10" s="1" t="s">
        <v>306</v>
      </c>
      <c r="E10" s="1" t="s">
        <v>479</v>
      </c>
      <c r="F10" s="1" t="s">
        <v>479</v>
      </c>
      <c r="G10" s="1">
        <v>12.96</v>
      </c>
      <c r="H10" s="1">
        <v>12.48</v>
      </c>
      <c r="I10" s="1">
        <v>5</v>
      </c>
      <c r="J10" s="1" t="s">
        <v>307</v>
      </c>
      <c r="K10" s="1">
        <v>45</v>
      </c>
      <c r="L10" s="8">
        <v>8.5000000000000006E-2</v>
      </c>
      <c r="M10" s="1" t="s">
        <v>24</v>
      </c>
      <c r="N10" s="1"/>
      <c r="O10" s="1" t="s">
        <v>1040</v>
      </c>
    </row>
    <row r="11" spans="1:15" ht="17.25" customHeight="1" x14ac:dyDescent="0.2">
      <c r="A11" s="22" t="s">
        <v>319</v>
      </c>
      <c r="B11" s="1" t="s">
        <v>319</v>
      </c>
      <c r="C11" s="1" t="s">
        <v>22</v>
      </c>
      <c r="D11" s="1" t="s">
        <v>306</v>
      </c>
      <c r="E11" s="1" t="s">
        <v>479</v>
      </c>
      <c r="F11" s="1" t="s">
        <v>479</v>
      </c>
      <c r="G11" s="1">
        <v>12.64</v>
      </c>
      <c r="H11" s="1">
        <v>11.72</v>
      </c>
      <c r="I11" s="1">
        <v>12</v>
      </c>
      <c r="J11" s="1" t="s">
        <v>307</v>
      </c>
      <c r="K11" s="1">
        <v>45</v>
      </c>
      <c r="L11" s="7">
        <v>0.09</v>
      </c>
      <c r="M11" s="1" t="s">
        <v>24</v>
      </c>
      <c r="N11" s="1" t="s">
        <v>320</v>
      </c>
      <c r="O11" s="1" t="s">
        <v>1041</v>
      </c>
    </row>
    <row r="12" spans="1:15" ht="17.25" customHeight="1" x14ac:dyDescent="0.2">
      <c r="A12" s="22" t="s">
        <v>321</v>
      </c>
      <c r="B12" s="1" t="s">
        <v>321</v>
      </c>
      <c r="C12" s="1" t="s">
        <v>17</v>
      </c>
      <c r="D12" s="1" t="s">
        <v>306</v>
      </c>
      <c r="E12" s="1" t="s">
        <v>479</v>
      </c>
      <c r="F12" s="1" t="s">
        <v>479</v>
      </c>
      <c r="G12" s="1">
        <v>12.64</v>
      </c>
      <c r="H12" s="1">
        <v>12.16</v>
      </c>
      <c r="I12" s="1">
        <v>5</v>
      </c>
      <c r="J12" s="1" t="s">
        <v>307</v>
      </c>
      <c r="K12" s="1">
        <v>48</v>
      </c>
      <c r="L12" s="7">
        <v>0.09</v>
      </c>
      <c r="M12" s="1" t="s">
        <v>24</v>
      </c>
      <c r="N12" s="1"/>
      <c r="O12" s="1" t="s">
        <v>1042</v>
      </c>
    </row>
    <row r="13" spans="1:15" ht="17.25" customHeight="1" x14ac:dyDescent="0.2">
      <c r="A13" s="22" t="s">
        <v>322</v>
      </c>
      <c r="B13" s="1" t="s">
        <v>322</v>
      </c>
      <c r="C13" s="1" t="s">
        <v>22</v>
      </c>
      <c r="D13" s="1" t="s">
        <v>306</v>
      </c>
      <c r="E13" s="1" t="s">
        <v>479</v>
      </c>
      <c r="F13" s="1" t="s">
        <v>479</v>
      </c>
      <c r="G13" s="1">
        <v>12.38</v>
      </c>
      <c r="H13" s="1">
        <v>11.44</v>
      </c>
      <c r="I13" s="1">
        <v>12</v>
      </c>
      <c r="J13" s="1" t="s">
        <v>307</v>
      </c>
      <c r="K13" s="1">
        <v>48</v>
      </c>
      <c r="L13" s="8">
        <v>9.5000000000000001E-2</v>
      </c>
      <c r="M13" s="1" t="s">
        <v>24</v>
      </c>
      <c r="N13" s="1"/>
      <c r="O13" s="1" t="s">
        <v>1043</v>
      </c>
    </row>
    <row r="14" spans="1:15" ht="17.25" customHeight="1" x14ac:dyDescent="0.2">
      <c r="A14" s="22" t="s">
        <v>323</v>
      </c>
      <c r="B14" s="1" t="s">
        <v>323</v>
      </c>
      <c r="C14" s="1" t="s">
        <v>26</v>
      </c>
      <c r="D14" s="1" t="s">
        <v>306</v>
      </c>
      <c r="E14" s="1" t="s">
        <v>479</v>
      </c>
      <c r="F14" s="1" t="s">
        <v>479</v>
      </c>
      <c r="G14" s="1">
        <v>12.13</v>
      </c>
      <c r="H14" s="1">
        <v>10.56</v>
      </c>
      <c r="I14" s="1">
        <v>25</v>
      </c>
      <c r="J14" s="1" t="s">
        <v>307</v>
      </c>
      <c r="K14" s="1">
        <v>48</v>
      </c>
      <c r="L14" s="7">
        <v>0.1</v>
      </c>
      <c r="M14" s="1" t="s">
        <v>24</v>
      </c>
      <c r="N14" s="1" t="s">
        <v>1330</v>
      </c>
      <c r="O14" s="1" t="s">
        <v>1044</v>
      </c>
    </row>
    <row r="15" spans="1:15" ht="17.25" customHeight="1" x14ac:dyDescent="0.2">
      <c r="A15" s="22" t="s">
        <v>324</v>
      </c>
      <c r="B15" s="1" t="s">
        <v>324</v>
      </c>
      <c r="C15" s="1" t="s">
        <v>17</v>
      </c>
      <c r="D15" s="1" t="s">
        <v>306</v>
      </c>
      <c r="E15" s="1" t="s">
        <v>479</v>
      </c>
      <c r="F15" s="1" t="s">
        <v>479</v>
      </c>
      <c r="G15" s="1">
        <v>13.05</v>
      </c>
      <c r="H15" s="1">
        <v>12.58</v>
      </c>
      <c r="I15" s="1">
        <v>5</v>
      </c>
      <c r="J15" s="1" t="s">
        <v>307</v>
      </c>
      <c r="K15" s="1">
        <v>48</v>
      </c>
      <c r="L15" s="7">
        <v>0.09</v>
      </c>
      <c r="M15" s="1" t="s">
        <v>24</v>
      </c>
      <c r="N15" s="1"/>
      <c r="O15" s="1" t="s">
        <v>1045</v>
      </c>
    </row>
    <row r="16" spans="1:15" ht="17.25" customHeight="1" x14ac:dyDescent="0.2">
      <c r="A16" s="22" t="s">
        <v>325</v>
      </c>
      <c r="B16" s="1" t="s">
        <v>325</v>
      </c>
      <c r="C16" s="1" t="s">
        <v>22</v>
      </c>
      <c r="D16" s="1" t="s">
        <v>306</v>
      </c>
      <c r="E16" s="1" t="s">
        <v>479</v>
      </c>
      <c r="F16" s="1" t="s">
        <v>479</v>
      </c>
      <c r="G16" s="1">
        <v>12.8</v>
      </c>
      <c r="H16" s="1">
        <v>11.85</v>
      </c>
      <c r="I16" s="1">
        <v>12</v>
      </c>
      <c r="J16" s="1" t="s">
        <v>307</v>
      </c>
      <c r="K16" s="1">
        <v>48</v>
      </c>
      <c r="L16" s="8">
        <v>9.5000000000000001E-2</v>
      </c>
      <c r="M16" s="1" t="s">
        <v>24</v>
      </c>
      <c r="N16" s="1"/>
      <c r="O16" s="1" t="s">
        <v>1046</v>
      </c>
    </row>
    <row r="17" spans="1:15" ht="17.25" customHeight="1" x14ac:dyDescent="0.2">
      <c r="A17" s="22" t="s">
        <v>326</v>
      </c>
      <c r="B17" s="1" t="s">
        <v>326</v>
      </c>
      <c r="C17" s="1" t="s">
        <v>26</v>
      </c>
      <c r="D17" s="1" t="s">
        <v>306</v>
      </c>
      <c r="E17" s="1" t="s">
        <v>479</v>
      </c>
      <c r="F17" s="1" t="s">
        <v>479</v>
      </c>
      <c r="G17" s="1">
        <v>12.61</v>
      </c>
      <c r="H17" s="1">
        <v>11.03</v>
      </c>
      <c r="I17" s="1">
        <v>25</v>
      </c>
      <c r="J17" s="1" t="s">
        <v>307</v>
      </c>
      <c r="K17" s="1">
        <v>48</v>
      </c>
      <c r="L17" s="7">
        <v>0.1</v>
      </c>
      <c r="M17" s="1" t="s">
        <v>24</v>
      </c>
      <c r="N17" s="1" t="s">
        <v>1331</v>
      </c>
      <c r="O17" s="1" t="s">
        <v>1047</v>
      </c>
    </row>
    <row r="18" spans="1:15" ht="17.25" customHeight="1" x14ac:dyDescent="0.2">
      <c r="A18" s="22" t="s">
        <v>327</v>
      </c>
      <c r="B18" s="1" t="s">
        <v>327</v>
      </c>
      <c r="C18" s="1" t="s">
        <v>37</v>
      </c>
      <c r="D18" s="1" t="s">
        <v>306</v>
      </c>
      <c r="E18" s="1" t="s">
        <v>479</v>
      </c>
      <c r="F18" s="1" t="s">
        <v>479</v>
      </c>
      <c r="G18" s="1">
        <v>12.13</v>
      </c>
      <c r="H18" s="1">
        <v>10.199999999999999</v>
      </c>
      <c r="I18" s="1">
        <v>45</v>
      </c>
      <c r="J18" s="1" t="s">
        <v>307</v>
      </c>
      <c r="K18" s="1">
        <v>49</v>
      </c>
      <c r="L18" s="7">
        <v>0.12</v>
      </c>
      <c r="M18" s="1" t="s">
        <v>156</v>
      </c>
      <c r="N18" s="1"/>
      <c r="O18" s="1" t="s">
        <v>1048</v>
      </c>
    </row>
    <row r="19" spans="1:15" ht="17.25" customHeight="1" x14ac:dyDescent="0.2">
      <c r="A19" s="22" t="s">
        <v>328</v>
      </c>
      <c r="B19" s="1" t="s">
        <v>328</v>
      </c>
      <c r="C19" s="1" t="s">
        <v>22</v>
      </c>
      <c r="D19" s="1" t="s">
        <v>306</v>
      </c>
      <c r="E19" s="1" t="s">
        <v>479</v>
      </c>
      <c r="F19" s="1" t="s">
        <v>479</v>
      </c>
      <c r="G19" s="1">
        <v>13</v>
      </c>
      <c r="H19" s="1">
        <v>12.04</v>
      </c>
      <c r="I19" s="1">
        <v>12</v>
      </c>
      <c r="J19" s="1" t="s">
        <v>307</v>
      </c>
      <c r="K19" s="1">
        <v>50</v>
      </c>
      <c r="L19" s="7">
        <v>0.1</v>
      </c>
      <c r="M19" s="1" t="s">
        <v>24</v>
      </c>
      <c r="N19" s="1"/>
      <c r="O19" s="1" t="s">
        <v>1049</v>
      </c>
    </row>
    <row r="20" spans="1:15" ht="17.25" customHeight="1" x14ac:dyDescent="0.2">
      <c r="A20" s="22" t="s">
        <v>329</v>
      </c>
      <c r="B20" s="1" t="s">
        <v>329</v>
      </c>
      <c r="C20" s="1" t="s">
        <v>26</v>
      </c>
      <c r="D20" s="1" t="s">
        <v>306</v>
      </c>
      <c r="E20" s="1" t="s">
        <v>479</v>
      </c>
      <c r="F20" s="1" t="s">
        <v>479</v>
      </c>
      <c r="G20" s="1">
        <v>12.75</v>
      </c>
      <c r="H20" s="1">
        <v>11.15</v>
      </c>
      <c r="I20" s="1">
        <v>25</v>
      </c>
      <c r="J20" s="1" t="s">
        <v>307</v>
      </c>
      <c r="K20" s="1">
        <v>50</v>
      </c>
      <c r="L20" s="8">
        <v>0.105</v>
      </c>
      <c r="M20" s="1" t="s">
        <v>24</v>
      </c>
      <c r="N20" s="1" t="s">
        <v>1332</v>
      </c>
      <c r="O20" s="1" t="s">
        <v>1050</v>
      </c>
    </row>
    <row r="21" spans="1:15" ht="17.25" customHeight="1" x14ac:dyDescent="0.2">
      <c r="A21" s="22" t="s">
        <v>330</v>
      </c>
      <c r="B21" s="1" t="s">
        <v>330</v>
      </c>
      <c r="C21" s="1" t="s">
        <v>37</v>
      </c>
      <c r="D21" s="1" t="s">
        <v>306</v>
      </c>
      <c r="E21" s="1" t="s">
        <v>479</v>
      </c>
      <c r="F21" s="1" t="s">
        <v>479</v>
      </c>
      <c r="G21" s="1">
        <v>12.5</v>
      </c>
      <c r="H21" s="1">
        <v>10.9</v>
      </c>
      <c r="I21" s="1">
        <v>45</v>
      </c>
      <c r="J21" s="1" t="s">
        <v>307</v>
      </c>
      <c r="K21" s="1">
        <v>50</v>
      </c>
      <c r="L21" s="7">
        <v>0.11</v>
      </c>
      <c r="M21" s="1" t="s">
        <v>24</v>
      </c>
      <c r="N21" s="1" t="s">
        <v>1051</v>
      </c>
      <c r="O21" s="1" t="s">
        <v>1052</v>
      </c>
    </row>
    <row r="22" spans="1:15" ht="17.25" customHeight="1" x14ac:dyDescent="0.2">
      <c r="A22" s="22" t="s">
        <v>1333</v>
      </c>
      <c r="B22" s="1" t="s">
        <v>1333</v>
      </c>
      <c r="C22" s="1" t="s">
        <v>22</v>
      </c>
      <c r="D22" s="1" t="s">
        <v>306</v>
      </c>
      <c r="E22" s="1" t="s">
        <v>479</v>
      </c>
      <c r="F22" s="1" t="s">
        <v>479</v>
      </c>
      <c r="G22" s="1">
        <v>12.32</v>
      </c>
      <c r="H22" s="1">
        <v>11.44</v>
      </c>
      <c r="I22" s="1">
        <v>12</v>
      </c>
      <c r="J22" s="1" t="s">
        <v>307</v>
      </c>
      <c r="K22" s="1">
        <v>48</v>
      </c>
      <c r="L22" s="8">
        <v>8.5000000000000006E-2</v>
      </c>
      <c r="M22" s="1"/>
      <c r="N22" s="1" t="s">
        <v>1334</v>
      </c>
      <c r="O22" s="1" t="s">
        <v>1335</v>
      </c>
    </row>
    <row r="23" spans="1:15" ht="17.25" customHeight="1" x14ac:dyDescent="0.2">
      <c r="A23" s="22" t="s">
        <v>331</v>
      </c>
      <c r="B23" s="1" t="s">
        <v>331</v>
      </c>
      <c r="C23" s="1" t="s">
        <v>17</v>
      </c>
      <c r="D23" s="1" t="s">
        <v>311</v>
      </c>
      <c r="E23" s="1" t="s">
        <v>479</v>
      </c>
      <c r="F23" s="1" t="s">
        <v>479</v>
      </c>
      <c r="G23" s="1">
        <v>14.17</v>
      </c>
      <c r="H23" s="1">
        <v>13.57</v>
      </c>
      <c r="I23" s="1">
        <v>5</v>
      </c>
      <c r="J23" s="1" t="s">
        <v>313</v>
      </c>
      <c r="K23" s="1">
        <v>46</v>
      </c>
      <c r="L23" s="8">
        <v>8.0000000000000002E-3</v>
      </c>
      <c r="M23" s="1" t="s">
        <v>65</v>
      </c>
      <c r="N23" s="1"/>
      <c r="O23" s="1" t="s">
        <v>1053</v>
      </c>
    </row>
    <row r="24" spans="1:15" ht="17.25" customHeight="1" x14ac:dyDescent="0.2">
      <c r="A24" s="22" t="s">
        <v>332</v>
      </c>
      <c r="B24" s="1" t="s">
        <v>332</v>
      </c>
      <c r="C24" s="1" t="s">
        <v>22</v>
      </c>
      <c r="D24" s="1" t="s">
        <v>311</v>
      </c>
      <c r="E24" s="1" t="s">
        <v>479</v>
      </c>
      <c r="F24" s="1" t="s">
        <v>479</v>
      </c>
      <c r="G24" s="1">
        <v>13.83</v>
      </c>
      <c r="H24" s="1">
        <v>12.64</v>
      </c>
      <c r="I24" s="1">
        <v>12</v>
      </c>
      <c r="J24" s="1" t="s">
        <v>313</v>
      </c>
      <c r="K24" s="1">
        <v>46</v>
      </c>
      <c r="L24" s="7">
        <v>8.9999999999999993E-3</v>
      </c>
      <c r="M24" s="1" t="s">
        <v>65</v>
      </c>
      <c r="N24" s="1" t="s">
        <v>333</v>
      </c>
      <c r="O24" s="1" t="s">
        <v>1054</v>
      </c>
    </row>
    <row r="25" spans="1:15" ht="17.25" customHeight="1" x14ac:dyDescent="0.2">
      <c r="A25" s="22" t="s">
        <v>334</v>
      </c>
      <c r="B25" s="1" t="s">
        <v>334</v>
      </c>
      <c r="C25" s="1" t="s">
        <v>26</v>
      </c>
      <c r="D25" s="1" t="s">
        <v>311</v>
      </c>
      <c r="E25" s="1" t="s">
        <v>479</v>
      </c>
      <c r="F25" s="1" t="s">
        <v>479</v>
      </c>
      <c r="G25" s="1">
        <v>13.57</v>
      </c>
      <c r="H25" s="1">
        <v>11.57</v>
      </c>
      <c r="I25" s="1">
        <v>25</v>
      </c>
      <c r="J25" s="1" t="s">
        <v>313</v>
      </c>
      <c r="K25" s="1">
        <v>46</v>
      </c>
      <c r="L25" s="7">
        <v>0.01</v>
      </c>
      <c r="M25" s="1" t="s">
        <v>65</v>
      </c>
      <c r="N25" s="1" t="s">
        <v>1055</v>
      </c>
      <c r="O25" s="1" t="s">
        <v>1056</v>
      </c>
    </row>
    <row r="26" spans="1:15" ht="17.25" customHeight="1" x14ac:dyDescent="0.2">
      <c r="A26" s="22" t="s">
        <v>335</v>
      </c>
      <c r="B26" s="1" t="s">
        <v>335</v>
      </c>
      <c r="C26" s="1" t="s">
        <v>22</v>
      </c>
      <c r="D26" s="1" t="s">
        <v>306</v>
      </c>
      <c r="E26" s="1" t="s">
        <v>479</v>
      </c>
      <c r="F26" s="1" t="s">
        <v>479</v>
      </c>
      <c r="G26" s="1">
        <v>11.44</v>
      </c>
      <c r="H26" s="1">
        <v>10.44</v>
      </c>
      <c r="I26" s="1">
        <v>12</v>
      </c>
      <c r="J26" s="1" t="s">
        <v>307</v>
      </c>
      <c r="K26" s="1">
        <v>50</v>
      </c>
      <c r="L26" s="8">
        <v>0.09</v>
      </c>
      <c r="M26" s="1" t="s">
        <v>65</v>
      </c>
      <c r="N26" s="1"/>
      <c r="O26" s="1" t="s">
        <v>1057</v>
      </c>
    </row>
    <row r="27" spans="1:15" ht="17.25" customHeight="1" x14ac:dyDescent="0.2">
      <c r="A27" s="22" t="s">
        <v>336</v>
      </c>
      <c r="B27" s="1" t="s">
        <v>336</v>
      </c>
      <c r="C27" s="1" t="s">
        <v>26</v>
      </c>
      <c r="D27" s="1" t="s">
        <v>306</v>
      </c>
      <c r="E27" s="1" t="s">
        <v>479</v>
      </c>
      <c r="F27" s="1" t="s">
        <v>479</v>
      </c>
      <c r="G27" s="1">
        <v>11.17</v>
      </c>
      <c r="H27" s="1">
        <v>9.51</v>
      </c>
      <c r="I27" s="1">
        <v>25</v>
      </c>
      <c r="J27" s="1" t="s">
        <v>307</v>
      </c>
      <c r="K27" s="1">
        <v>50</v>
      </c>
      <c r="L27" s="7">
        <v>9.5000000000000001E-2</v>
      </c>
      <c r="M27" s="1" t="s">
        <v>65</v>
      </c>
      <c r="N27" s="1" t="s">
        <v>1058</v>
      </c>
      <c r="O27" s="1" t="s">
        <v>1059</v>
      </c>
    </row>
    <row r="28" spans="1:15" ht="17.25" customHeight="1" x14ac:dyDescent="0.2">
      <c r="A28" s="22" t="s">
        <v>337</v>
      </c>
      <c r="B28" s="1" t="s">
        <v>337</v>
      </c>
      <c r="C28" s="1" t="s">
        <v>37</v>
      </c>
      <c r="D28" s="1" t="s">
        <v>306</v>
      </c>
      <c r="E28" s="1" t="s">
        <v>479</v>
      </c>
      <c r="F28" s="1" t="s">
        <v>479</v>
      </c>
      <c r="G28" s="1">
        <v>10.91</v>
      </c>
      <c r="H28" s="1">
        <v>9.24</v>
      </c>
      <c r="I28" s="1">
        <v>45</v>
      </c>
      <c r="J28" s="1" t="s">
        <v>307</v>
      </c>
      <c r="K28" s="1">
        <v>50</v>
      </c>
      <c r="L28" s="8">
        <v>0.1</v>
      </c>
      <c r="M28" s="1" t="s">
        <v>65</v>
      </c>
      <c r="N28" s="1" t="s">
        <v>338</v>
      </c>
      <c r="O28" s="1" t="s">
        <v>1060</v>
      </c>
    </row>
    <row r="29" spans="1:15" ht="17.25" customHeight="1" x14ac:dyDescent="0.2">
      <c r="A29" s="22" t="s">
        <v>1336</v>
      </c>
      <c r="B29" s="1" t="s">
        <v>1336</v>
      </c>
      <c r="C29" s="1" t="s">
        <v>22</v>
      </c>
      <c r="D29" s="1" t="s">
        <v>347</v>
      </c>
      <c r="E29" s="1" t="s">
        <v>1337</v>
      </c>
      <c r="F29" s="1" t="s">
        <v>1338</v>
      </c>
      <c r="G29" s="1">
        <v>15.9</v>
      </c>
      <c r="H29" s="1">
        <v>14.7</v>
      </c>
      <c r="I29" s="1">
        <v>12</v>
      </c>
      <c r="J29" s="1" t="s">
        <v>243</v>
      </c>
      <c r="K29" s="1">
        <v>38</v>
      </c>
      <c r="L29" s="8">
        <v>3.5000000000000003E-2</v>
      </c>
      <c r="M29" s="1"/>
      <c r="N29" s="1" t="s">
        <v>1334</v>
      </c>
      <c r="O29" s="1" t="s">
        <v>1339</v>
      </c>
    </row>
    <row r="30" spans="1:15" ht="17.25" customHeight="1" x14ac:dyDescent="0.2">
      <c r="A30" s="22" t="s">
        <v>339</v>
      </c>
      <c r="B30" s="1" t="s">
        <v>339</v>
      </c>
      <c r="C30" s="1" t="s">
        <v>17</v>
      </c>
      <c r="D30" s="1" t="s">
        <v>311</v>
      </c>
      <c r="E30" s="1" t="s">
        <v>479</v>
      </c>
      <c r="F30" s="1" t="s">
        <v>479</v>
      </c>
      <c r="G30" s="1">
        <v>14.28</v>
      </c>
      <c r="H30" s="1">
        <v>13.71</v>
      </c>
      <c r="I30" s="1">
        <v>5</v>
      </c>
      <c r="J30" s="1" t="s">
        <v>313</v>
      </c>
      <c r="K30" s="1">
        <v>45</v>
      </c>
      <c r="L30" s="7">
        <v>8.0000000000000002E-3</v>
      </c>
      <c r="M30" s="1" t="s">
        <v>24</v>
      </c>
      <c r="N30" s="1"/>
      <c r="O30" s="1" t="s">
        <v>1061</v>
      </c>
    </row>
    <row r="31" spans="1:15" ht="17.25" customHeight="1" x14ac:dyDescent="0.2">
      <c r="A31" s="22" t="s">
        <v>340</v>
      </c>
      <c r="B31" s="1" t="s">
        <v>340</v>
      </c>
      <c r="C31" s="1" t="s">
        <v>22</v>
      </c>
      <c r="D31" s="1" t="s">
        <v>311</v>
      </c>
      <c r="E31" s="1" t="s">
        <v>479</v>
      </c>
      <c r="F31" s="1" t="s">
        <v>479</v>
      </c>
      <c r="G31" s="1">
        <v>14.03</v>
      </c>
      <c r="H31" s="1">
        <v>12.89</v>
      </c>
      <c r="I31" s="1">
        <v>12</v>
      </c>
      <c r="J31" s="1" t="s">
        <v>313</v>
      </c>
      <c r="K31" s="1">
        <v>45</v>
      </c>
      <c r="L31" s="7">
        <v>8.9999999999999993E-3</v>
      </c>
      <c r="M31" s="1" t="s">
        <v>24</v>
      </c>
      <c r="N31" s="1"/>
      <c r="O31" s="1" t="s">
        <v>1062</v>
      </c>
    </row>
    <row r="32" spans="1:15" ht="17.25" customHeight="1" x14ac:dyDescent="0.2">
      <c r="A32" s="22" t="s">
        <v>341</v>
      </c>
      <c r="B32" s="1" t="s">
        <v>341</v>
      </c>
      <c r="C32" s="1" t="s">
        <v>26</v>
      </c>
      <c r="D32" s="1" t="s">
        <v>311</v>
      </c>
      <c r="E32" s="1" t="s">
        <v>479</v>
      </c>
      <c r="F32" s="1" t="s">
        <v>479</v>
      </c>
      <c r="G32" s="1">
        <v>13.77</v>
      </c>
      <c r="H32" s="1">
        <v>11.88</v>
      </c>
      <c r="I32" s="1">
        <v>25</v>
      </c>
      <c r="J32" s="1" t="s">
        <v>313</v>
      </c>
      <c r="K32" s="1">
        <v>45</v>
      </c>
      <c r="L32" s="8">
        <v>0.01</v>
      </c>
      <c r="M32" s="1" t="s">
        <v>24</v>
      </c>
      <c r="N32" s="1" t="s">
        <v>1340</v>
      </c>
      <c r="O32" s="1" t="s">
        <v>1063</v>
      </c>
    </row>
    <row r="33" spans="1:15" ht="17.25" customHeight="1" x14ac:dyDescent="0.2">
      <c r="A33" s="22" t="s">
        <v>342</v>
      </c>
      <c r="B33" s="1" t="s">
        <v>342</v>
      </c>
      <c r="C33" s="1" t="s">
        <v>37</v>
      </c>
      <c r="D33" s="1" t="s">
        <v>311</v>
      </c>
      <c r="E33" s="1" t="s">
        <v>479</v>
      </c>
      <c r="F33" s="1" t="s">
        <v>479</v>
      </c>
      <c r="G33" s="1">
        <v>13.7</v>
      </c>
      <c r="H33" s="1">
        <v>11.71</v>
      </c>
      <c r="I33" s="1">
        <v>45</v>
      </c>
      <c r="J33" s="1" t="s">
        <v>313</v>
      </c>
      <c r="K33" s="1">
        <v>46</v>
      </c>
      <c r="L33" s="8">
        <v>0.02</v>
      </c>
      <c r="M33" s="1" t="s">
        <v>156</v>
      </c>
      <c r="N33" s="1"/>
      <c r="O33" s="1" t="s">
        <v>1064</v>
      </c>
    </row>
    <row r="34" spans="1:15" ht="17.25" customHeight="1" x14ac:dyDescent="0.2">
      <c r="A34" s="22" t="s">
        <v>343</v>
      </c>
      <c r="B34" s="1" t="s">
        <v>343</v>
      </c>
      <c r="C34" s="1" t="s">
        <v>17</v>
      </c>
      <c r="D34" s="1" t="s">
        <v>311</v>
      </c>
      <c r="E34" s="1" t="s">
        <v>479</v>
      </c>
      <c r="F34" s="1" t="s">
        <v>479</v>
      </c>
      <c r="G34" s="1">
        <v>14.6</v>
      </c>
      <c r="H34" s="1">
        <v>14.03</v>
      </c>
      <c r="I34" s="1">
        <v>0</v>
      </c>
      <c r="J34" s="1" t="s">
        <v>313</v>
      </c>
      <c r="K34" s="1">
        <v>45</v>
      </c>
      <c r="L34" s="7">
        <v>8.0000000000000002E-3</v>
      </c>
      <c r="M34" s="1" t="s">
        <v>24</v>
      </c>
      <c r="N34" s="1"/>
      <c r="O34" s="1" t="s">
        <v>1065</v>
      </c>
    </row>
    <row r="35" spans="1:15" ht="17.25" customHeight="1" x14ac:dyDescent="0.2">
      <c r="A35" s="22" t="s">
        <v>344</v>
      </c>
      <c r="B35" s="1" t="s">
        <v>344</v>
      </c>
      <c r="C35" s="1" t="s">
        <v>17</v>
      </c>
      <c r="D35" s="1" t="s">
        <v>311</v>
      </c>
      <c r="E35" s="1" t="s">
        <v>479</v>
      </c>
      <c r="F35" s="1" t="s">
        <v>479</v>
      </c>
      <c r="G35" s="1">
        <v>14.35</v>
      </c>
      <c r="H35" s="1">
        <v>13.77</v>
      </c>
      <c r="I35" s="1">
        <v>5</v>
      </c>
      <c r="J35" s="1" t="s">
        <v>313</v>
      </c>
      <c r="K35" s="1">
        <v>45</v>
      </c>
      <c r="L35" s="7">
        <v>8.9999999999999993E-3</v>
      </c>
      <c r="M35" s="1" t="s">
        <v>24</v>
      </c>
      <c r="N35" s="1"/>
      <c r="O35" s="1" t="s">
        <v>1066</v>
      </c>
    </row>
    <row r="36" spans="1:15" ht="17.25" customHeight="1" x14ac:dyDescent="0.2">
      <c r="A36" s="22" t="s">
        <v>345</v>
      </c>
      <c r="B36" s="1" t="s">
        <v>345</v>
      </c>
      <c r="C36" s="1" t="s">
        <v>22</v>
      </c>
      <c r="D36" s="1" t="s">
        <v>311</v>
      </c>
      <c r="E36" s="1" t="s">
        <v>479</v>
      </c>
      <c r="F36" s="1" t="s">
        <v>479</v>
      </c>
      <c r="G36" s="1">
        <v>13.77</v>
      </c>
      <c r="H36" s="1">
        <v>12.64</v>
      </c>
      <c r="I36" s="1">
        <v>12</v>
      </c>
      <c r="J36" s="1" t="s">
        <v>313</v>
      </c>
      <c r="K36" s="1">
        <v>45</v>
      </c>
      <c r="L36" s="7">
        <v>0.01</v>
      </c>
      <c r="M36" s="1" t="s">
        <v>24</v>
      </c>
      <c r="N36" s="1" t="s">
        <v>1341</v>
      </c>
      <c r="O36" s="1" t="s">
        <v>1067</v>
      </c>
    </row>
    <row r="37" spans="1:15" ht="17.25" customHeight="1" x14ac:dyDescent="0.2">
      <c r="A37" s="22" t="s">
        <v>346</v>
      </c>
      <c r="B37" s="1" t="s">
        <v>346</v>
      </c>
      <c r="C37" s="1" t="s">
        <v>37</v>
      </c>
      <c r="D37" s="1" t="s">
        <v>347</v>
      </c>
      <c r="E37" s="1" t="s">
        <v>348</v>
      </c>
      <c r="F37" s="1" t="s">
        <v>349</v>
      </c>
      <c r="G37" s="1">
        <v>14.03</v>
      </c>
      <c r="H37" s="1">
        <v>12.04</v>
      </c>
      <c r="I37" s="1">
        <v>45</v>
      </c>
      <c r="J37" s="1" t="s">
        <v>243</v>
      </c>
      <c r="K37" s="1">
        <v>48</v>
      </c>
      <c r="L37" s="8">
        <v>0.05</v>
      </c>
      <c r="M37" s="1"/>
      <c r="N37" s="1"/>
      <c r="O37" s="1" t="s">
        <v>1068</v>
      </c>
    </row>
    <row r="38" spans="1:15" ht="17.25" customHeight="1" x14ac:dyDescent="0.2">
      <c r="A38" s="22" t="s">
        <v>350</v>
      </c>
      <c r="B38" s="1" t="s">
        <v>350</v>
      </c>
      <c r="C38" s="1" t="s">
        <v>17</v>
      </c>
      <c r="D38" s="1" t="s">
        <v>347</v>
      </c>
      <c r="E38" s="1" t="s">
        <v>351</v>
      </c>
      <c r="F38" s="1" t="s">
        <v>352</v>
      </c>
      <c r="G38" s="1">
        <v>15.96</v>
      </c>
      <c r="H38" s="1">
        <v>15.36</v>
      </c>
      <c r="I38" s="1">
        <v>0</v>
      </c>
      <c r="J38" s="1" t="s">
        <v>243</v>
      </c>
      <c r="K38" s="1">
        <v>48</v>
      </c>
      <c r="L38" s="7">
        <v>0.03</v>
      </c>
      <c r="M38" s="1" t="s">
        <v>24</v>
      </c>
      <c r="N38" s="1"/>
      <c r="O38" s="1" t="s">
        <v>1069</v>
      </c>
    </row>
    <row r="39" spans="1:15" ht="17.25" customHeight="1" x14ac:dyDescent="0.2">
      <c r="A39" s="22" t="s">
        <v>353</v>
      </c>
      <c r="B39" s="1" t="s">
        <v>353</v>
      </c>
      <c r="C39" s="1" t="s">
        <v>17</v>
      </c>
      <c r="D39" s="1" t="s">
        <v>347</v>
      </c>
      <c r="E39" s="1" t="s">
        <v>354</v>
      </c>
      <c r="F39" s="1" t="s">
        <v>355</v>
      </c>
      <c r="G39" s="1">
        <v>15.63</v>
      </c>
      <c r="H39" s="1">
        <v>15.03</v>
      </c>
      <c r="I39" s="1">
        <v>5</v>
      </c>
      <c r="J39" s="1" t="s">
        <v>243</v>
      </c>
      <c r="K39" s="1">
        <v>48</v>
      </c>
      <c r="L39" s="7">
        <v>3.5000000000000003E-2</v>
      </c>
      <c r="M39" s="1" t="s">
        <v>24</v>
      </c>
      <c r="N39" s="1"/>
      <c r="O39" s="1" t="s">
        <v>1070</v>
      </c>
    </row>
    <row r="40" spans="1:15" ht="17.25" customHeight="1" x14ac:dyDescent="0.2">
      <c r="A40" s="22" t="s">
        <v>356</v>
      </c>
      <c r="B40" s="1" t="s">
        <v>356</v>
      </c>
      <c r="C40" s="1" t="s">
        <v>22</v>
      </c>
      <c r="D40" s="1" t="s">
        <v>347</v>
      </c>
      <c r="E40" s="1" t="s">
        <v>357</v>
      </c>
      <c r="F40" s="1" t="s">
        <v>358</v>
      </c>
      <c r="G40" s="1">
        <v>15.3</v>
      </c>
      <c r="H40" s="1">
        <v>14.13</v>
      </c>
      <c r="I40" s="1">
        <v>12</v>
      </c>
      <c r="J40" s="1" t="s">
        <v>243</v>
      </c>
      <c r="K40" s="1">
        <v>48</v>
      </c>
      <c r="L40" s="8">
        <v>0.04</v>
      </c>
      <c r="M40" s="1" t="s">
        <v>24</v>
      </c>
      <c r="N40" s="1" t="s">
        <v>1342</v>
      </c>
      <c r="O40" s="1" t="s">
        <v>1071</v>
      </c>
    </row>
    <row r="41" spans="1:15" ht="17.25" customHeight="1" x14ac:dyDescent="0.2">
      <c r="A41" s="22" t="s">
        <v>359</v>
      </c>
      <c r="B41" s="1" t="s">
        <v>359</v>
      </c>
      <c r="C41" s="1" t="s">
        <v>17</v>
      </c>
      <c r="D41" s="1" t="s">
        <v>347</v>
      </c>
      <c r="E41" s="1" t="s">
        <v>360</v>
      </c>
      <c r="F41" s="1" t="s">
        <v>361</v>
      </c>
      <c r="G41" s="1">
        <v>17.03</v>
      </c>
      <c r="H41" s="1">
        <v>16.43</v>
      </c>
      <c r="I41" s="1">
        <v>5</v>
      </c>
      <c r="J41" s="1" t="s">
        <v>243</v>
      </c>
      <c r="K41" s="1">
        <v>48</v>
      </c>
      <c r="L41" s="7">
        <v>0.04</v>
      </c>
      <c r="M41" s="1" t="s">
        <v>24</v>
      </c>
      <c r="N41" s="1"/>
      <c r="O41" s="1" t="s">
        <v>1072</v>
      </c>
    </row>
    <row r="42" spans="1:15" ht="17.25" customHeight="1" x14ac:dyDescent="0.2">
      <c r="A42" s="22" t="s">
        <v>362</v>
      </c>
      <c r="B42" s="1" t="s">
        <v>362</v>
      </c>
      <c r="C42" s="1" t="s">
        <v>22</v>
      </c>
      <c r="D42" s="1" t="s">
        <v>347</v>
      </c>
      <c r="E42" s="1" t="s">
        <v>363</v>
      </c>
      <c r="F42" s="1" t="s">
        <v>364</v>
      </c>
      <c r="G42" s="1">
        <v>16.760000000000002</v>
      </c>
      <c r="H42" s="1">
        <v>15.56</v>
      </c>
      <c r="I42" s="1">
        <v>12</v>
      </c>
      <c r="J42" s="1" t="s">
        <v>243</v>
      </c>
      <c r="K42" s="1">
        <v>48</v>
      </c>
      <c r="L42" s="7">
        <v>4.4999999999999998E-2</v>
      </c>
      <c r="M42" s="1" t="s">
        <v>24</v>
      </c>
      <c r="N42" s="1"/>
      <c r="O42" s="1" t="s">
        <v>1073</v>
      </c>
    </row>
    <row r="43" spans="1:15" ht="17.25" customHeight="1" x14ac:dyDescent="0.2">
      <c r="A43" s="22" t="s">
        <v>365</v>
      </c>
      <c r="B43" s="1" t="s">
        <v>365</v>
      </c>
      <c r="C43" s="1" t="s">
        <v>26</v>
      </c>
      <c r="D43" s="1" t="s">
        <v>347</v>
      </c>
      <c r="E43" s="1" t="s">
        <v>366</v>
      </c>
      <c r="F43" s="1" t="s">
        <v>367</v>
      </c>
      <c r="G43" s="1">
        <v>16.559999999999999</v>
      </c>
      <c r="H43" s="1">
        <v>14.57</v>
      </c>
      <c r="I43" s="1">
        <v>25</v>
      </c>
      <c r="J43" s="1" t="s">
        <v>243</v>
      </c>
      <c r="K43" s="1">
        <v>48</v>
      </c>
      <c r="L43" s="7">
        <v>0.05</v>
      </c>
      <c r="M43" s="1" t="s">
        <v>24</v>
      </c>
      <c r="N43" s="1" t="s">
        <v>1343</v>
      </c>
      <c r="O43" s="1" t="s">
        <v>1074</v>
      </c>
    </row>
    <row r="44" spans="1:15" ht="17.25" customHeight="1" x14ac:dyDescent="0.2">
      <c r="A44" s="22" t="s">
        <v>1344</v>
      </c>
      <c r="B44" s="1" t="s">
        <v>1344</v>
      </c>
      <c r="C44" s="1" t="s">
        <v>37</v>
      </c>
      <c r="D44" s="1" t="s">
        <v>347</v>
      </c>
      <c r="E44" s="1" t="s">
        <v>1345</v>
      </c>
      <c r="F44" s="1" t="s">
        <v>1346</v>
      </c>
      <c r="G44" s="1">
        <v>14.03</v>
      </c>
      <c r="H44" s="1">
        <v>12.04</v>
      </c>
      <c r="I44" s="1">
        <v>45</v>
      </c>
      <c r="J44" s="1" t="s">
        <v>243</v>
      </c>
      <c r="K44" s="1">
        <v>48</v>
      </c>
      <c r="L44" s="8">
        <v>0.06</v>
      </c>
      <c r="M44" s="1"/>
      <c r="N44" s="1"/>
      <c r="O44" s="1" t="s">
        <v>1347</v>
      </c>
    </row>
    <row r="45" spans="1:15" ht="17.25" customHeight="1" x14ac:dyDescent="0.2">
      <c r="A45" s="22" t="s">
        <v>368</v>
      </c>
      <c r="B45" s="1" t="s">
        <v>368</v>
      </c>
      <c r="C45" s="1" t="s">
        <v>26</v>
      </c>
      <c r="D45" s="1" t="s">
        <v>306</v>
      </c>
      <c r="E45" s="1" t="s">
        <v>479</v>
      </c>
      <c r="F45" s="1" t="s">
        <v>479</v>
      </c>
      <c r="G45" s="1">
        <v>11.31</v>
      </c>
      <c r="H45" s="1">
        <v>8.98</v>
      </c>
      <c r="I45" s="1">
        <v>25</v>
      </c>
      <c r="J45" s="1" t="s">
        <v>307</v>
      </c>
      <c r="K45" s="1">
        <v>47</v>
      </c>
      <c r="L45" s="7">
        <v>0.09</v>
      </c>
      <c r="M45" s="1" t="s">
        <v>156</v>
      </c>
      <c r="N45" s="1"/>
      <c r="O45" s="1" t="s">
        <v>1075</v>
      </c>
    </row>
    <row r="46" spans="1:15" ht="17.25" customHeight="1" x14ac:dyDescent="0.2">
      <c r="A46" s="22" t="s">
        <v>369</v>
      </c>
      <c r="B46" s="1" t="s">
        <v>369</v>
      </c>
      <c r="C46" s="1" t="s">
        <v>17</v>
      </c>
      <c r="D46" s="1" t="s">
        <v>347</v>
      </c>
      <c r="E46" s="1" t="s">
        <v>370</v>
      </c>
      <c r="F46" s="1" t="s">
        <v>371</v>
      </c>
      <c r="G46" s="1">
        <v>14.91</v>
      </c>
      <c r="H46" s="1">
        <v>14.35</v>
      </c>
      <c r="I46" s="1">
        <v>0</v>
      </c>
      <c r="J46" s="1" t="s">
        <v>243</v>
      </c>
      <c r="K46" s="1">
        <v>48</v>
      </c>
      <c r="L46" s="8">
        <v>0.03</v>
      </c>
      <c r="M46" s="1" t="s">
        <v>21</v>
      </c>
      <c r="N46" s="1"/>
      <c r="O46" s="1" t="s">
        <v>1076</v>
      </c>
    </row>
    <row r="47" spans="1:15" ht="17.25" customHeight="1" x14ac:dyDescent="0.2">
      <c r="A47" s="22" t="s">
        <v>372</v>
      </c>
      <c r="B47" s="1" t="s">
        <v>372</v>
      </c>
      <c r="C47" s="1" t="s">
        <v>17</v>
      </c>
      <c r="D47" s="1" t="s">
        <v>347</v>
      </c>
      <c r="E47" s="1" t="s">
        <v>373</v>
      </c>
      <c r="F47" s="1" t="s">
        <v>374</v>
      </c>
      <c r="G47" s="1">
        <v>14.66</v>
      </c>
      <c r="H47" s="1">
        <v>14.09</v>
      </c>
      <c r="I47" s="1">
        <v>5</v>
      </c>
      <c r="J47" s="1" t="s">
        <v>243</v>
      </c>
      <c r="K47" s="1">
        <v>48</v>
      </c>
      <c r="L47" s="8">
        <v>3.5000000000000003E-2</v>
      </c>
      <c r="M47" s="1" t="s">
        <v>21</v>
      </c>
      <c r="N47" s="1"/>
      <c r="O47" s="1" t="s">
        <v>1077</v>
      </c>
    </row>
    <row r="48" spans="1:15" ht="17.25" customHeight="1" x14ac:dyDescent="0.2">
      <c r="A48" s="22" t="s">
        <v>1348</v>
      </c>
      <c r="B48" s="1" t="s">
        <v>1348</v>
      </c>
      <c r="C48" s="1" t="s">
        <v>22</v>
      </c>
      <c r="D48" s="1" t="s">
        <v>347</v>
      </c>
      <c r="E48" s="1" t="s">
        <v>1349</v>
      </c>
      <c r="F48" s="1" t="s">
        <v>1350</v>
      </c>
      <c r="G48" s="1">
        <v>14.47</v>
      </c>
      <c r="H48" s="1">
        <v>13.37</v>
      </c>
      <c r="I48" s="1">
        <v>12</v>
      </c>
      <c r="J48" s="1" t="s">
        <v>243</v>
      </c>
      <c r="K48" s="1">
        <v>48</v>
      </c>
      <c r="L48" s="7">
        <v>0.04</v>
      </c>
      <c r="M48" s="1" t="s">
        <v>21</v>
      </c>
      <c r="N48" s="1" t="s">
        <v>1351</v>
      </c>
      <c r="O48" s="1" t="s">
        <v>1352</v>
      </c>
    </row>
    <row r="49" spans="1:15" ht="17.25" customHeight="1" x14ac:dyDescent="0.2">
      <c r="A49" s="22" t="s">
        <v>375</v>
      </c>
      <c r="B49" s="1" t="s">
        <v>375</v>
      </c>
      <c r="C49" s="1" t="s">
        <v>17</v>
      </c>
      <c r="D49" s="1" t="s">
        <v>311</v>
      </c>
      <c r="E49" s="1" t="s">
        <v>479</v>
      </c>
      <c r="F49" s="1" t="s">
        <v>479</v>
      </c>
      <c r="G49" s="1">
        <v>13.3</v>
      </c>
      <c r="H49" s="1">
        <v>12.7</v>
      </c>
      <c r="I49" s="1">
        <v>5</v>
      </c>
      <c r="J49" s="1" t="s">
        <v>313</v>
      </c>
      <c r="K49" s="1">
        <v>45</v>
      </c>
      <c r="L49" s="7">
        <v>8.0000000000000002E-3</v>
      </c>
      <c r="M49" s="1" t="s">
        <v>21</v>
      </c>
      <c r="N49" s="1"/>
      <c r="O49" s="1" t="s">
        <v>1078</v>
      </c>
    </row>
    <row r="50" spans="1:15" ht="17.25" customHeight="1" x14ac:dyDescent="0.2">
      <c r="A50" s="22" t="s">
        <v>376</v>
      </c>
      <c r="B50" s="1" t="s">
        <v>376</v>
      </c>
      <c r="C50" s="1" t="s">
        <v>22</v>
      </c>
      <c r="D50" s="1" t="s">
        <v>311</v>
      </c>
      <c r="E50" s="1" t="s">
        <v>479</v>
      </c>
      <c r="F50" s="1" t="s">
        <v>479</v>
      </c>
      <c r="G50" s="1">
        <v>13.1</v>
      </c>
      <c r="H50" s="1">
        <v>11.9</v>
      </c>
      <c r="I50" s="1">
        <v>12</v>
      </c>
      <c r="J50" s="1" t="s">
        <v>313</v>
      </c>
      <c r="K50" s="1">
        <v>45</v>
      </c>
      <c r="L50" s="8">
        <v>8.9999999999999993E-3</v>
      </c>
      <c r="M50" s="1" t="s">
        <v>21</v>
      </c>
      <c r="N50" s="1"/>
      <c r="O50" s="1" t="s">
        <v>1079</v>
      </c>
    </row>
    <row r="51" spans="1:15" ht="17.25" customHeight="1" x14ac:dyDescent="0.2">
      <c r="A51" s="22" t="s">
        <v>377</v>
      </c>
      <c r="B51" s="1" t="s">
        <v>377</v>
      </c>
      <c r="C51" s="1" t="s">
        <v>26</v>
      </c>
      <c r="D51" s="1" t="s">
        <v>311</v>
      </c>
      <c r="E51" s="1" t="s">
        <v>479</v>
      </c>
      <c r="F51" s="1" t="s">
        <v>479</v>
      </c>
      <c r="G51" s="1">
        <v>12.9</v>
      </c>
      <c r="H51" s="1">
        <v>10.91</v>
      </c>
      <c r="I51" s="1">
        <v>25</v>
      </c>
      <c r="J51" s="1" t="s">
        <v>313</v>
      </c>
      <c r="K51" s="1">
        <v>45</v>
      </c>
      <c r="L51" s="7">
        <v>0.01</v>
      </c>
      <c r="M51" s="1" t="s">
        <v>21</v>
      </c>
      <c r="N51" s="2" t="s">
        <v>1080</v>
      </c>
      <c r="O51" s="1" t="s">
        <v>1081</v>
      </c>
    </row>
    <row r="52" spans="1:15" ht="17.25" customHeight="1" x14ac:dyDescent="0.2">
      <c r="A52" s="22" t="s">
        <v>378</v>
      </c>
      <c r="B52" s="1" t="s">
        <v>378</v>
      </c>
      <c r="C52" s="1" t="s">
        <v>17</v>
      </c>
      <c r="D52" s="1" t="s">
        <v>306</v>
      </c>
      <c r="E52" s="1" t="s">
        <v>479</v>
      </c>
      <c r="F52" s="1" t="s">
        <v>479</v>
      </c>
      <c r="G52" s="1">
        <v>12</v>
      </c>
      <c r="H52" s="1">
        <v>11.56</v>
      </c>
      <c r="I52" s="1">
        <v>0</v>
      </c>
      <c r="J52" s="1" t="s">
        <v>307</v>
      </c>
      <c r="K52" s="1">
        <v>48</v>
      </c>
      <c r="L52" s="7">
        <v>7.0000000000000007E-2</v>
      </c>
      <c r="M52" s="1" t="s">
        <v>21</v>
      </c>
      <c r="N52" s="1"/>
      <c r="O52" s="1" t="s">
        <v>1082</v>
      </c>
    </row>
    <row r="53" spans="1:15" ht="17.25" customHeight="1" x14ac:dyDescent="0.2">
      <c r="A53" s="22" t="s">
        <v>379</v>
      </c>
      <c r="B53" s="1" t="s">
        <v>379</v>
      </c>
      <c r="C53" s="1" t="s">
        <v>17</v>
      </c>
      <c r="D53" s="1" t="s">
        <v>306</v>
      </c>
      <c r="E53" s="1" t="s">
        <v>479</v>
      </c>
      <c r="F53" s="1" t="s">
        <v>479</v>
      </c>
      <c r="G53" s="1">
        <v>11.82</v>
      </c>
      <c r="H53" s="1">
        <v>10.78</v>
      </c>
      <c r="I53" s="1">
        <v>5</v>
      </c>
      <c r="J53" s="1" t="s">
        <v>307</v>
      </c>
      <c r="K53" s="1">
        <v>48</v>
      </c>
      <c r="L53" s="7">
        <v>7.4999999999999997E-2</v>
      </c>
      <c r="M53" s="1" t="s">
        <v>21</v>
      </c>
      <c r="N53" s="1"/>
      <c r="O53" s="1" t="s">
        <v>1083</v>
      </c>
    </row>
    <row r="54" spans="1:15" ht="17.25" customHeight="1" x14ac:dyDescent="0.2">
      <c r="A54" s="22" t="s">
        <v>380</v>
      </c>
      <c r="B54" s="1" t="s">
        <v>380</v>
      </c>
      <c r="C54" s="6" t="s">
        <v>22</v>
      </c>
      <c r="D54" s="1" t="s">
        <v>306</v>
      </c>
      <c r="E54" s="1" t="s">
        <v>479</v>
      </c>
      <c r="F54" s="1" t="s">
        <v>479</v>
      </c>
      <c r="G54" s="1">
        <v>11.64</v>
      </c>
      <c r="H54" s="1">
        <v>10.76</v>
      </c>
      <c r="I54" s="1">
        <v>12</v>
      </c>
      <c r="J54" s="1" t="s">
        <v>307</v>
      </c>
      <c r="K54" s="1">
        <v>48</v>
      </c>
      <c r="L54" s="8">
        <v>0.08</v>
      </c>
      <c r="M54" s="1" t="s">
        <v>21</v>
      </c>
      <c r="N54" s="1" t="s">
        <v>1084</v>
      </c>
      <c r="O54" s="1" t="s">
        <v>1085</v>
      </c>
    </row>
    <row r="55" spans="1:15" ht="17.25" customHeight="1" x14ac:dyDescent="0.2">
      <c r="A55" s="22" t="s">
        <v>381</v>
      </c>
      <c r="B55" s="1" t="s">
        <v>381</v>
      </c>
      <c r="C55" s="6" t="s">
        <v>37</v>
      </c>
      <c r="D55" s="1" t="s">
        <v>347</v>
      </c>
      <c r="E55" s="1" t="s">
        <v>382</v>
      </c>
      <c r="F55" s="1" t="s">
        <v>383</v>
      </c>
      <c r="G55" s="1">
        <v>13.3</v>
      </c>
      <c r="H55" s="1">
        <v>10.97</v>
      </c>
      <c r="I55" s="1">
        <v>45</v>
      </c>
      <c r="J55" s="1" t="s">
        <v>243</v>
      </c>
      <c r="K55" s="1">
        <v>48</v>
      </c>
      <c r="L55" s="7">
        <v>7.0000000000000007E-2</v>
      </c>
      <c r="M55" s="1" t="s">
        <v>156</v>
      </c>
      <c r="N55" s="1"/>
      <c r="O55" s="1" t="s">
        <v>1086</v>
      </c>
    </row>
    <row r="56" spans="1:15" ht="17.25" customHeight="1" x14ac:dyDescent="0.2">
      <c r="A56" s="22" t="s">
        <v>384</v>
      </c>
      <c r="B56" s="1" t="s">
        <v>384</v>
      </c>
      <c r="C56" s="6" t="s">
        <v>17</v>
      </c>
      <c r="D56" s="1" t="s">
        <v>347</v>
      </c>
      <c r="E56" s="1" t="s">
        <v>351</v>
      </c>
      <c r="F56" s="1" t="s">
        <v>352</v>
      </c>
      <c r="G56" s="1">
        <v>14.63</v>
      </c>
      <c r="H56" s="1">
        <v>14.03</v>
      </c>
      <c r="I56" s="1">
        <v>5</v>
      </c>
      <c r="J56" s="1" t="s">
        <v>243</v>
      </c>
      <c r="K56" s="1">
        <v>45</v>
      </c>
      <c r="L56" s="7">
        <v>0.03</v>
      </c>
      <c r="M56" s="1" t="s">
        <v>20</v>
      </c>
      <c r="N56" s="1"/>
      <c r="O56" s="1" t="s">
        <v>1087</v>
      </c>
    </row>
    <row r="57" spans="1:15" ht="17.25" customHeight="1" x14ac:dyDescent="0.2">
      <c r="A57" s="22" t="s">
        <v>385</v>
      </c>
      <c r="B57" s="1" t="s">
        <v>385</v>
      </c>
      <c r="C57" s="6" t="s">
        <v>22</v>
      </c>
      <c r="D57" s="1" t="s">
        <v>347</v>
      </c>
      <c r="E57" s="1" t="s">
        <v>354</v>
      </c>
      <c r="F57" s="1" t="s">
        <v>386</v>
      </c>
      <c r="G57" s="1">
        <v>14.3</v>
      </c>
      <c r="H57" s="1">
        <v>13.1</v>
      </c>
      <c r="I57" s="1">
        <v>12</v>
      </c>
      <c r="J57" s="1" t="s">
        <v>243</v>
      </c>
      <c r="K57" s="1">
        <v>45</v>
      </c>
      <c r="L57" s="8">
        <v>3.5000000000000003E-2</v>
      </c>
      <c r="M57" s="1" t="s">
        <v>20</v>
      </c>
      <c r="N57" s="1"/>
      <c r="O57" s="1" t="s">
        <v>1088</v>
      </c>
    </row>
    <row r="58" spans="1:15" ht="17.25" customHeight="1" x14ac:dyDescent="0.2">
      <c r="A58" s="22" t="s">
        <v>387</v>
      </c>
      <c r="B58" s="1" t="s">
        <v>387</v>
      </c>
      <c r="C58" s="6" t="s">
        <v>26</v>
      </c>
      <c r="D58" s="1" t="s">
        <v>347</v>
      </c>
      <c r="E58" s="1" t="s">
        <v>357</v>
      </c>
      <c r="F58" s="1" t="s">
        <v>312</v>
      </c>
      <c r="G58" s="1">
        <v>13.97</v>
      </c>
      <c r="H58" s="1">
        <v>11.97</v>
      </c>
      <c r="I58" s="1">
        <v>25</v>
      </c>
      <c r="J58" s="1" t="s">
        <v>243</v>
      </c>
      <c r="K58" s="1">
        <v>45</v>
      </c>
      <c r="L58" s="7">
        <v>0.04</v>
      </c>
      <c r="M58" s="1" t="s">
        <v>20</v>
      </c>
      <c r="N58" s="1" t="s">
        <v>388</v>
      </c>
      <c r="O58" s="1" t="s">
        <v>1089</v>
      </c>
    </row>
    <row r="59" spans="1:15" ht="17.25" customHeight="1" x14ac:dyDescent="0.2">
      <c r="A59" s="22" t="s">
        <v>389</v>
      </c>
      <c r="B59" s="1" t="s">
        <v>389</v>
      </c>
      <c r="C59" s="6" t="s">
        <v>17</v>
      </c>
      <c r="D59" s="1" t="s">
        <v>347</v>
      </c>
      <c r="E59" s="1" t="s">
        <v>390</v>
      </c>
      <c r="F59" s="1" t="s">
        <v>391</v>
      </c>
      <c r="G59" s="1">
        <v>14.41</v>
      </c>
      <c r="H59" s="1">
        <v>13.84</v>
      </c>
      <c r="I59" s="1">
        <v>5</v>
      </c>
      <c r="J59" s="1" t="s">
        <v>243</v>
      </c>
      <c r="K59" s="1">
        <v>48</v>
      </c>
      <c r="L59" s="8">
        <v>0.04</v>
      </c>
      <c r="M59" s="1" t="s">
        <v>21</v>
      </c>
      <c r="N59" s="1"/>
      <c r="O59" s="1" t="s">
        <v>1090</v>
      </c>
    </row>
    <row r="60" spans="1:15" ht="17.25" customHeight="1" x14ac:dyDescent="0.2">
      <c r="A60" s="22" t="s">
        <v>392</v>
      </c>
      <c r="B60" s="1" t="s">
        <v>392</v>
      </c>
      <c r="C60" s="6" t="s">
        <v>22</v>
      </c>
      <c r="D60" s="1" t="s">
        <v>347</v>
      </c>
      <c r="E60" s="1" t="s">
        <v>393</v>
      </c>
      <c r="F60" s="1" t="s">
        <v>394</v>
      </c>
      <c r="G60" s="1">
        <v>14.15</v>
      </c>
      <c r="H60" s="1">
        <v>14.27</v>
      </c>
      <c r="I60" s="1">
        <v>12</v>
      </c>
      <c r="J60" s="1" t="s">
        <v>243</v>
      </c>
      <c r="K60" s="1">
        <v>48</v>
      </c>
      <c r="L60" s="8">
        <v>4.4999999999999998E-2</v>
      </c>
      <c r="M60" s="1" t="s">
        <v>21</v>
      </c>
      <c r="N60" s="1" t="s">
        <v>1091</v>
      </c>
      <c r="O60" s="1" t="s">
        <v>1092</v>
      </c>
    </row>
    <row r="61" spans="1:15" ht="17.25" customHeight="1" x14ac:dyDescent="0.2">
      <c r="A61" s="22" t="s">
        <v>395</v>
      </c>
      <c r="B61" s="1" t="s">
        <v>395</v>
      </c>
      <c r="C61" s="6" t="s">
        <v>26</v>
      </c>
      <c r="D61" s="1" t="s">
        <v>347</v>
      </c>
      <c r="E61" s="1" t="s">
        <v>396</v>
      </c>
      <c r="F61" s="1" t="s">
        <v>397</v>
      </c>
      <c r="G61" s="1">
        <v>13.52</v>
      </c>
      <c r="H61" s="1">
        <v>11.63</v>
      </c>
      <c r="I61" s="1">
        <v>25</v>
      </c>
      <c r="J61" s="1" t="s">
        <v>243</v>
      </c>
      <c r="K61" s="1">
        <v>48</v>
      </c>
      <c r="L61" s="7">
        <v>0.05</v>
      </c>
      <c r="M61" s="1" t="s">
        <v>21</v>
      </c>
      <c r="N61" s="1" t="s">
        <v>1093</v>
      </c>
      <c r="O61" s="1" t="s">
        <v>1094</v>
      </c>
    </row>
    <row r="62" spans="1:15" ht="17.25" customHeight="1" x14ac:dyDescent="0.2">
      <c r="A62" s="22" t="s">
        <v>398</v>
      </c>
      <c r="B62" s="1" t="s">
        <v>398</v>
      </c>
      <c r="C62" s="6" t="s">
        <v>22</v>
      </c>
      <c r="D62" s="1" t="s">
        <v>311</v>
      </c>
      <c r="E62" s="1" t="s">
        <v>479</v>
      </c>
      <c r="F62" s="1" t="s">
        <v>479</v>
      </c>
      <c r="G62" s="1">
        <v>13.1</v>
      </c>
      <c r="H62" s="1">
        <v>13.57</v>
      </c>
      <c r="I62" s="1">
        <v>12</v>
      </c>
      <c r="J62" s="1" t="s">
        <v>313</v>
      </c>
      <c r="K62" s="1">
        <v>48</v>
      </c>
      <c r="L62" s="8">
        <v>8.0000000000000002E-3</v>
      </c>
      <c r="M62" s="1" t="s">
        <v>21</v>
      </c>
      <c r="N62" s="1"/>
      <c r="O62" s="1" t="s">
        <v>1095</v>
      </c>
    </row>
    <row r="63" spans="1:15" ht="17.25" customHeight="1" x14ac:dyDescent="0.2">
      <c r="A63" s="22" t="s">
        <v>399</v>
      </c>
      <c r="B63" s="1" t="s">
        <v>399</v>
      </c>
      <c r="C63" s="6" t="s">
        <v>26</v>
      </c>
      <c r="D63" s="1" t="s">
        <v>311</v>
      </c>
      <c r="E63" s="1" t="s">
        <v>479</v>
      </c>
      <c r="F63" s="1" t="s">
        <v>479</v>
      </c>
      <c r="G63" s="1">
        <v>12.84</v>
      </c>
      <c r="H63" s="1">
        <v>10.71</v>
      </c>
      <c r="I63" s="1">
        <v>25</v>
      </c>
      <c r="J63" s="1" t="s">
        <v>313</v>
      </c>
      <c r="K63" s="1">
        <v>48</v>
      </c>
      <c r="L63" s="7">
        <v>8.9999999999999993E-3</v>
      </c>
      <c r="M63" s="1" t="s">
        <v>21</v>
      </c>
      <c r="N63" s="1" t="s">
        <v>1096</v>
      </c>
      <c r="O63" s="1" t="s">
        <v>1097</v>
      </c>
    </row>
    <row r="64" spans="1:15" ht="17.25" customHeight="1" x14ac:dyDescent="0.2">
      <c r="A64" s="22" t="s">
        <v>400</v>
      </c>
      <c r="B64" s="1" t="s">
        <v>400</v>
      </c>
      <c r="C64" s="6" t="s">
        <v>37</v>
      </c>
      <c r="D64" s="1" t="s">
        <v>311</v>
      </c>
      <c r="E64" s="1" t="s">
        <v>479</v>
      </c>
      <c r="F64" s="1" t="s">
        <v>479</v>
      </c>
      <c r="G64" s="1">
        <v>12.57</v>
      </c>
      <c r="H64" s="1">
        <v>10.44</v>
      </c>
      <c r="I64" s="1">
        <v>45</v>
      </c>
      <c r="J64" s="1" t="s">
        <v>313</v>
      </c>
      <c r="K64" s="1">
        <v>48</v>
      </c>
      <c r="L64" s="7">
        <v>0.01</v>
      </c>
      <c r="M64" s="1" t="s">
        <v>21</v>
      </c>
      <c r="N64" s="1" t="s">
        <v>1098</v>
      </c>
      <c r="O64" s="1" t="s">
        <v>1099</v>
      </c>
    </row>
    <row r="65" spans="1:15" ht="17.25" customHeight="1" x14ac:dyDescent="0.2">
      <c r="A65" s="22" t="s">
        <v>401</v>
      </c>
      <c r="B65" s="1" t="s">
        <v>401</v>
      </c>
      <c r="C65" s="6" t="s">
        <v>26</v>
      </c>
      <c r="D65" s="1" t="s">
        <v>402</v>
      </c>
      <c r="E65" s="1" t="s">
        <v>479</v>
      </c>
      <c r="F65" s="1" t="s">
        <v>479</v>
      </c>
      <c r="G65" s="1">
        <v>17.29</v>
      </c>
      <c r="H65" s="1">
        <v>14.3</v>
      </c>
      <c r="I65" s="1">
        <v>25</v>
      </c>
      <c r="J65" s="1" t="s">
        <v>313</v>
      </c>
      <c r="K65" s="1">
        <v>46</v>
      </c>
      <c r="L65" s="8">
        <v>1.0999999999999999E-2</v>
      </c>
      <c r="M65" s="1" t="s">
        <v>156</v>
      </c>
      <c r="N65" s="1"/>
      <c r="O65" s="1" t="s">
        <v>1100</v>
      </c>
    </row>
    <row r="66" spans="1:15" ht="17.25" customHeight="1" x14ac:dyDescent="0.2">
      <c r="A66" s="22" t="s">
        <v>403</v>
      </c>
      <c r="B66" s="1" t="s">
        <v>403</v>
      </c>
      <c r="C66" s="6" t="s">
        <v>37</v>
      </c>
      <c r="D66" s="1" t="s">
        <v>311</v>
      </c>
      <c r="E66" s="1" t="s">
        <v>479</v>
      </c>
      <c r="F66" s="1" t="s">
        <v>479</v>
      </c>
      <c r="G66" s="1">
        <v>12.7</v>
      </c>
      <c r="H66" s="1">
        <v>10.38</v>
      </c>
      <c r="I66" s="1">
        <v>45</v>
      </c>
      <c r="J66" s="1" t="s">
        <v>313</v>
      </c>
      <c r="K66" s="1">
        <v>52</v>
      </c>
      <c r="L66" s="7">
        <v>0.06</v>
      </c>
      <c r="M66" s="1" t="s">
        <v>156</v>
      </c>
      <c r="N66" s="1"/>
      <c r="O66" s="1" t="s">
        <v>1101</v>
      </c>
    </row>
    <row r="67" spans="1:15" ht="17.25" customHeight="1" x14ac:dyDescent="0.2">
      <c r="A67" s="22" t="s">
        <v>404</v>
      </c>
      <c r="B67" s="1" t="s">
        <v>404</v>
      </c>
      <c r="C67" s="6" t="s">
        <v>22</v>
      </c>
      <c r="D67" s="1" t="s">
        <v>347</v>
      </c>
      <c r="E67" s="1" t="s">
        <v>360</v>
      </c>
      <c r="F67" s="1" t="s">
        <v>405</v>
      </c>
      <c r="G67" s="1">
        <v>13.3</v>
      </c>
      <c r="H67" s="1">
        <v>11.9</v>
      </c>
      <c r="I67" s="1">
        <v>12</v>
      </c>
      <c r="J67" s="1" t="s">
        <v>243</v>
      </c>
      <c r="K67" s="1">
        <v>52</v>
      </c>
      <c r="L67" s="7">
        <v>0.05</v>
      </c>
      <c r="M67" s="1" t="s">
        <v>20</v>
      </c>
      <c r="N67" s="1"/>
      <c r="O67" s="1" t="s">
        <v>1102</v>
      </c>
    </row>
    <row r="68" spans="1:15" ht="17.25" customHeight="1" x14ac:dyDescent="0.2">
      <c r="A68" s="22" t="s">
        <v>406</v>
      </c>
      <c r="B68" s="1" t="s">
        <v>406</v>
      </c>
      <c r="C68" s="6" t="s">
        <v>26</v>
      </c>
      <c r="D68" s="1" t="s">
        <v>347</v>
      </c>
      <c r="E68" s="1" t="s">
        <v>363</v>
      </c>
      <c r="F68" s="1" t="s">
        <v>407</v>
      </c>
      <c r="G68" s="1">
        <v>12.97</v>
      </c>
      <c r="H68" s="1">
        <v>10.64</v>
      </c>
      <c r="I68" s="1">
        <v>25</v>
      </c>
      <c r="J68" s="1" t="s">
        <v>243</v>
      </c>
      <c r="K68" s="1">
        <v>52</v>
      </c>
      <c r="L68" s="8">
        <v>5.5E-2</v>
      </c>
      <c r="M68" s="1" t="s">
        <v>20</v>
      </c>
      <c r="N68" s="1" t="s">
        <v>1103</v>
      </c>
      <c r="O68" s="1" t="s">
        <v>1104</v>
      </c>
    </row>
    <row r="69" spans="1:15" ht="17.25" customHeight="1" x14ac:dyDescent="0.2">
      <c r="A69" s="22" t="s">
        <v>408</v>
      </c>
      <c r="B69" s="1" t="s">
        <v>408</v>
      </c>
      <c r="C69" s="6" t="s">
        <v>37</v>
      </c>
      <c r="D69" s="1" t="s">
        <v>347</v>
      </c>
      <c r="E69" s="1" t="s">
        <v>366</v>
      </c>
      <c r="F69" s="1" t="s">
        <v>367</v>
      </c>
      <c r="G69" s="1">
        <v>12.64</v>
      </c>
      <c r="H69" s="1">
        <v>10.31</v>
      </c>
      <c r="I69" s="1">
        <v>45</v>
      </c>
      <c r="J69" s="1" t="s">
        <v>243</v>
      </c>
      <c r="K69" s="1">
        <v>52</v>
      </c>
      <c r="L69" s="7">
        <v>0.06</v>
      </c>
      <c r="M69" s="1" t="s">
        <v>20</v>
      </c>
      <c r="N69" s="1" t="s">
        <v>1105</v>
      </c>
      <c r="O69" s="1" t="s">
        <v>1106</v>
      </c>
    </row>
    <row r="70" spans="1:15" ht="17.25" customHeight="1" x14ac:dyDescent="0.2">
      <c r="A70" s="22" t="s">
        <v>409</v>
      </c>
      <c r="B70" s="1" t="s">
        <v>409</v>
      </c>
      <c r="C70" s="6" t="s">
        <v>22</v>
      </c>
      <c r="D70" s="1" t="s">
        <v>347</v>
      </c>
      <c r="E70" s="1" t="s">
        <v>393</v>
      </c>
      <c r="F70" s="1" t="s">
        <v>394</v>
      </c>
      <c r="G70" s="1">
        <v>14.43</v>
      </c>
      <c r="H70" s="1">
        <v>13.04</v>
      </c>
      <c r="I70" s="1">
        <v>12</v>
      </c>
      <c r="J70" s="1" t="s">
        <v>243</v>
      </c>
      <c r="K70" s="1">
        <v>52</v>
      </c>
      <c r="L70" s="7">
        <v>0.04</v>
      </c>
      <c r="M70" s="1"/>
      <c r="N70" s="1" t="s">
        <v>410</v>
      </c>
      <c r="O70" s="1" t="s">
        <v>1107</v>
      </c>
    </row>
    <row r="71" spans="1:15" ht="17.25" customHeight="1" x14ac:dyDescent="0.2">
      <c r="A71" s="22" t="s">
        <v>411</v>
      </c>
      <c r="B71" s="1" t="s">
        <v>411</v>
      </c>
      <c r="C71" s="6" t="s">
        <v>26</v>
      </c>
      <c r="D71" s="1" t="s">
        <v>347</v>
      </c>
      <c r="E71" s="1" t="s">
        <v>396</v>
      </c>
      <c r="F71" s="1" t="s">
        <v>397</v>
      </c>
      <c r="G71" s="1">
        <v>14.1</v>
      </c>
      <c r="H71" s="1">
        <v>11.77</v>
      </c>
      <c r="I71" s="1">
        <v>25</v>
      </c>
      <c r="J71" s="1" t="s">
        <v>243</v>
      </c>
      <c r="K71" s="1">
        <v>52</v>
      </c>
      <c r="L71" s="8">
        <v>4.4999999999999998E-2</v>
      </c>
      <c r="M71" s="1"/>
      <c r="N71" s="1" t="s">
        <v>1108</v>
      </c>
      <c r="O71" s="1" t="s">
        <v>1109</v>
      </c>
    </row>
    <row r="72" spans="1:15" ht="17.25" customHeight="1" x14ac:dyDescent="0.2">
      <c r="A72" s="22" t="s">
        <v>412</v>
      </c>
      <c r="B72" s="1" t="s">
        <v>412</v>
      </c>
      <c r="C72" s="6" t="s">
        <v>37</v>
      </c>
      <c r="D72" s="1" t="s">
        <v>347</v>
      </c>
      <c r="E72" s="1" t="s">
        <v>413</v>
      </c>
      <c r="F72" s="1" t="s">
        <v>414</v>
      </c>
      <c r="G72" s="1">
        <v>13.77</v>
      </c>
      <c r="H72" s="1">
        <v>11.37</v>
      </c>
      <c r="I72" s="1">
        <v>45</v>
      </c>
      <c r="J72" s="1" t="s">
        <v>243</v>
      </c>
      <c r="K72" s="1">
        <v>52</v>
      </c>
      <c r="L72" s="7">
        <v>0.05</v>
      </c>
      <c r="M72" s="1" t="s">
        <v>262</v>
      </c>
      <c r="N72" s="1" t="s">
        <v>1110</v>
      </c>
      <c r="O72" s="1" t="s">
        <v>1111</v>
      </c>
    </row>
    <row r="73" spans="1:15" ht="17.25" customHeight="1" x14ac:dyDescent="0.2">
      <c r="A73" s="22" t="s">
        <v>415</v>
      </c>
      <c r="B73" s="1" t="s">
        <v>415</v>
      </c>
      <c r="C73" s="6" t="s">
        <v>17</v>
      </c>
      <c r="D73" s="1" t="s">
        <v>306</v>
      </c>
      <c r="E73" s="1" t="s">
        <v>479</v>
      </c>
      <c r="F73" s="1" t="s">
        <v>479</v>
      </c>
      <c r="G73" s="1">
        <v>13</v>
      </c>
      <c r="H73" s="1">
        <v>12.54</v>
      </c>
      <c r="I73" s="1">
        <v>5</v>
      </c>
      <c r="J73" s="1" t="s">
        <v>307</v>
      </c>
      <c r="K73" s="1">
        <v>50</v>
      </c>
      <c r="L73" s="7">
        <v>0.09</v>
      </c>
      <c r="M73" s="1" t="s">
        <v>20</v>
      </c>
      <c r="N73" s="1"/>
      <c r="O73" s="1" t="s">
        <v>1112</v>
      </c>
    </row>
    <row r="74" spans="1:15" ht="17.25" customHeight="1" x14ac:dyDescent="0.2">
      <c r="A74" s="22" t="s">
        <v>416</v>
      </c>
      <c r="B74" s="1" t="s">
        <v>416</v>
      </c>
      <c r="C74" s="6" t="s">
        <v>22</v>
      </c>
      <c r="D74" s="1" t="s">
        <v>306</v>
      </c>
      <c r="E74" s="1" t="s">
        <v>479</v>
      </c>
      <c r="F74" s="1" t="s">
        <v>479</v>
      </c>
      <c r="G74" s="1">
        <v>12.78</v>
      </c>
      <c r="H74" s="1">
        <v>11.86</v>
      </c>
      <c r="I74" s="1">
        <v>12</v>
      </c>
      <c r="J74" s="1" t="s">
        <v>307</v>
      </c>
      <c r="K74" s="1">
        <v>50</v>
      </c>
      <c r="L74" s="7">
        <v>9.5000000000000001E-2</v>
      </c>
      <c r="M74" s="1" t="s">
        <v>20</v>
      </c>
      <c r="N74" s="1"/>
      <c r="O74" s="1" t="s">
        <v>1113</v>
      </c>
    </row>
    <row r="75" spans="1:15" ht="17.25" customHeight="1" x14ac:dyDescent="0.2">
      <c r="A75" s="22" t="s">
        <v>417</v>
      </c>
      <c r="B75" s="1" t="s">
        <v>417</v>
      </c>
      <c r="C75" s="6" t="s">
        <v>26</v>
      </c>
      <c r="D75" s="1" t="s">
        <v>306</v>
      </c>
      <c r="E75" s="1" t="s">
        <v>479</v>
      </c>
      <c r="F75" s="1" t="s">
        <v>479</v>
      </c>
      <c r="G75" s="1">
        <v>12.5</v>
      </c>
      <c r="H75" s="1">
        <v>10.97</v>
      </c>
      <c r="I75" s="1">
        <v>25</v>
      </c>
      <c r="J75" s="1" t="s">
        <v>307</v>
      </c>
      <c r="K75" s="1">
        <v>50</v>
      </c>
      <c r="L75" s="8">
        <v>0.1</v>
      </c>
      <c r="M75" s="1" t="s">
        <v>20</v>
      </c>
      <c r="N75" s="1" t="s">
        <v>418</v>
      </c>
      <c r="O75" s="1" t="s">
        <v>1114</v>
      </c>
    </row>
    <row r="76" spans="1:15" ht="17.25" customHeight="1" x14ac:dyDescent="0.2">
      <c r="A76" s="22" t="s">
        <v>419</v>
      </c>
      <c r="B76" s="1" t="s">
        <v>419</v>
      </c>
      <c r="C76" s="6" t="s">
        <v>37</v>
      </c>
      <c r="D76" s="1" t="s">
        <v>306</v>
      </c>
      <c r="E76" s="1" t="s">
        <v>479</v>
      </c>
      <c r="F76" s="1" t="s">
        <v>479</v>
      </c>
      <c r="G76" s="1">
        <v>13.18</v>
      </c>
      <c r="H76" s="1">
        <v>10.61</v>
      </c>
      <c r="I76" s="1">
        <v>45</v>
      </c>
      <c r="J76" s="1" t="s">
        <v>307</v>
      </c>
      <c r="K76" s="1">
        <v>52</v>
      </c>
      <c r="L76" s="7">
        <v>0.1</v>
      </c>
      <c r="M76" s="1" t="s">
        <v>156</v>
      </c>
      <c r="N76" s="1"/>
      <c r="O76" s="1" t="s">
        <v>1115</v>
      </c>
    </row>
    <row r="77" spans="1:15" ht="17.25" customHeight="1" x14ac:dyDescent="0.2">
      <c r="A77" s="22" t="s">
        <v>420</v>
      </c>
      <c r="B77" s="1" t="s">
        <v>420</v>
      </c>
      <c r="C77" s="6" t="s">
        <v>17</v>
      </c>
      <c r="D77" s="1" t="s">
        <v>306</v>
      </c>
      <c r="E77" s="1" t="s">
        <v>479</v>
      </c>
      <c r="F77" s="1" t="s">
        <v>479</v>
      </c>
      <c r="G77" s="1">
        <v>12.05</v>
      </c>
      <c r="H77" s="1">
        <v>11.59</v>
      </c>
      <c r="I77" s="1">
        <v>0</v>
      </c>
      <c r="J77" s="1" t="s">
        <v>307</v>
      </c>
      <c r="K77" s="1">
        <v>47</v>
      </c>
      <c r="L77" s="7">
        <v>0.08</v>
      </c>
      <c r="M77" s="1" t="s">
        <v>20</v>
      </c>
      <c r="N77" s="1"/>
      <c r="O77" s="1" t="s">
        <v>1116</v>
      </c>
    </row>
    <row r="78" spans="1:15" ht="17.25" customHeight="1" x14ac:dyDescent="0.2">
      <c r="A78" s="22" t="s">
        <v>421</v>
      </c>
      <c r="B78" s="1" t="s">
        <v>421</v>
      </c>
      <c r="C78" s="6" t="s">
        <v>17</v>
      </c>
      <c r="D78" s="1" t="s">
        <v>306</v>
      </c>
      <c r="E78" s="1" t="s">
        <v>479</v>
      </c>
      <c r="F78" s="1" t="s">
        <v>479</v>
      </c>
      <c r="G78" s="1">
        <v>11.84</v>
      </c>
      <c r="H78" s="1">
        <v>11.38</v>
      </c>
      <c r="I78" s="1">
        <v>5</v>
      </c>
      <c r="J78" s="1" t="s">
        <v>307</v>
      </c>
      <c r="K78" s="1">
        <v>47</v>
      </c>
      <c r="L78" s="8">
        <v>8.5000000000000006E-2</v>
      </c>
      <c r="M78" s="1" t="s">
        <v>20</v>
      </c>
      <c r="N78" s="1"/>
      <c r="O78" s="1" t="s">
        <v>1117</v>
      </c>
    </row>
    <row r="79" spans="1:15" ht="17.25" customHeight="1" x14ac:dyDescent="0.2">
      <c r="A79" s="22" t="s">
        <v>422</v>
      </c>
      <c r="B79" s="1" t="s">
        <v>422</v>
      </c>
      <c r="C79" s="6" t="s">
        <v>22</v>
      </c>
      <c r="D79" s="1" t="s">
        <v>306</v>
      </c>
      <c r="E79" s="1" t="s">
        <v>479</v>
      </c>
      <c r="F79" s="1" t="s">
        <v>479</v>
      </c>
      <c r="G79" s="1">
        <v>11.56</v>
      </c>
      <c r="H79" s="1">
        <v>10.64</v>
      </c>
      <c r="I79" s="1">
        <v>12</v>
      </c>
      <c r="J79" s="1" t="s">
        <v>307</v>
      </c>
      <c r="K79" s="1">
        <v>47</v>
      </c>
      <c r="L79" s="7">
        <v>0.09</v>
      </c>
      <c r="M79" s="1" t="s">
        <v>20</v>
      </c>
      <c r="N79" s="1" t="s">
        <v>423</v>
      </c>
      <c r="O79" s="1" t="s">
        <v>1118</v>
      </c>
    </row>
    <row r="80" spans="1:15" ht="17.25" customHeight="1" x14ac:dyDescent="0.2">
      <c r="A80" s="22" t="s">
        <v>424</v>
      </c>
      <c r="B80" s="1" t="s">
        <v>424</v>
      </c>
      <c r="C80" s="6" t="s">
        <v>22</v>
      </c>
      <c r="D80" s="1" t="s">
        <v>306</v>
      </c>
      <c r="E80" s="1" t="s">
        <v>479</v>
      </c>
      <c r="F80" s="1" t="s">
        <v>479</v>
      </c>
      <c r="G80" s="1">
        <v>12.96</v>
      </c>
      <c r="H80" s="1">
        <v>11.84</v>
      </c>
      <c r="I80" s="1">
        <v>12</v>
      </c>
      <c r="J80" s="1" t="s">
        <v>307</v>
      </c>
      <c r="K80" s="1">
        <v>53</v>
      </c>
      <c r="L80" s="8">
        <v>0.09</v>
      </c>
      <c r="M80" s="1" t="s">
        <v>20</v>
      </c>
      <c r="N80" s="1"/>
      <c r="O80" s="1" t="s">
        <v>1119</v>
      </c>
    </row>
    <row r="81" spans="1:15" ht="17.25" customHeight="1" x14ac:dyDescent="0.2">
      <c r="A81" s="22" t="s">
        <v>425</v>
      </c>
      <c r="B81" s="1" t="s">
        <v>425</v>
      </c>
      <c r="C81" s="6" t="s">
        <v>26</v>
      </c>
      <c r="D81" s="1" t="s">
        <v>306</v>
      </c>
      <c r="E81" s="1" t="s">
        <v>479</v>
      </c>
      <c r="F81" s="1" t="s">
        <v>479</v>
      </c>
      <c r="G81" s="1">
        <v>12.71</v>
      </c>
      <c r="H81" s="1">
        <v>10.86</v>
      </c>
      <c r="I81" s="1">
        <v>25</v>
      </c>
      <c r="J81" s="1" t="s">
        <v>307</v>
      </c>
      <c r="K81" s="1">
        <v>53</v>
      </c>
      <c r="L81" s="8">
        <v>9.5000000000000001E-2</v>
      </c>
      <c r="M81" s="1" t="s">
        <v>20</v>
      </c>
      <c r="N81" s="1" t="s">
        <v>1120</v>
      </c>
      <c r="O81" s="1" t="s">
        <v>1121</v>
      </c>
    </row>
    <row r="82" spans="1:15" ht="17.25" customHeight="1" x14ac:dyDescent="0.2">
      <c r="A82" s="22" t="s">
        <v>426</v>
      </c>
      <c r="B82" s="1" t="s">
        <v>426</v>
      </c>
      <c r="C82" s="6" t="s">
        <v>37</v>
      </c>
      <c r="D82" s="1" t="s">
        <v>306</v>
      </c>
      <c r="E82" s="1" t="s">
        <v>479</v>
      </c>
      <c r="F82" s="1" t="s">
        <v>479</v>
      </c>
      <c r="G82" s="1">
        <v>12.46</v>
      </c>
      <c r="H82" s="1">
        <v>10.6</v>
      </c>
      <c r="I82" s="1">
        <v>45</v>
      </c>
      <c r="J82" s="1" t="s">
        <v>307</v>
      </c>
      <c r="K82" s="1">
        <v>53</v>
      </c>
      <c r="L82" s="7">
        <v>0.1</v>
      </c>
      <c r="M82" s="1" t="s">
        <v>20</v>
      </c>
      <c r="N82" s="1" t="s">
        <v>427</v>
      </c>
      <c r="O82" s="1" t="s">
        <v>1122</v>
      </c>
    </row>
    <row r="83" spans="1:15" ht="17.25" customHeight="1" x14ac:dyDescent="0.2">
      <c r="A83" s="22" t="s">
        <v>428</v>
      </c>
      <c r="B83" s="1" t="s">
        <v>428</v>
      </c>
      <c r="C83" s="6" t="s">
        <v>17</v>
      </c>
      <c r="D83" s="1" t="s">
        <v>311</v>
      </c>
      <c r="E83" s="1" t="s">
        <v>479</v>
      </c>
      <c r="F83" s="1" t="s">
        <v>479</v>
      </c>
      <c r="G83" s="1">
        <v>11.71</v>
      </c>
      <c r="H83" s="1">
        <v>11.11</v>
      </c>
      <c r="I83" s="1">
        <v>5</v>
      </c>
      <c r="J83" s="1" t="s">
        <v>313</v>
      </c>
      <c r="K83" s="1">
        <v>48</v>
      </c>
      <c r="L83" s="7">
        <v>8.0000000000000002E-3</v>
      </c>
      <c r="M83" s="1" t="s">
        <v>20</v>
      </c>
      <c r="N83" s="1"/>
      <c r="O83" s="1" t="s">
        <v>1123</v>
      </c>
    </row>
    <row r="84" spans="1:15" ht="17.25" customHeight="1" x14ac:dyDescent="0.2">
      <c r="A84" s="22" t="s">
        <v>429</v>
      </c>
      <c r="B84" s="1" t="s">
        <v>429</v>
      </c>
      <c r="C84" s="6" t="s">
        <v>22</v>
      </c>
      <c r="D84" s="1" t="s">
        <v>311</v>
      </c>
      <c r="E84" s="1" t="s">
        <v>479</v>
      </c>
      <c r="F84" s="1" t="s">
        <v>479</v>
      </c>
      <c r="G84" s="1">
        <v>11.44</v>
      </c>
      <c r="H84" s="1">
        <v>10.24</v>
      </c>
      <c r="I84" s="1">
        <v>12</v>
      </c>
      <c r="J84" s="1" t="s">
        <v>313</v>
      </c>
      <c r="K84" s="1">
        <v>48</v>
      </c>
      <c r="L84" s="7">
        <v>8.9999999999999993E-3</v>
      </c>
      <c r="M84" s="1" t="s">
        <v>20</v>
      </c>
      <c r="N84" s="1"/>
      <c r="O84" s="1" t="s">
        <v>1124</v>
      </c>
    </row>
    <row r="85" spans="1:15" ht="17.25" customHeight="1" x14ac:dyDescent="0.2">
      <c r="A85" s="22" t="s">
        <v>430</v>
      </c>
      <c r="B85" s="1" t="s">
        <v>430</v>
      </c>
      <c r="C85" s="6" t="s">
        <v>26</v>
      </c>
      <c r="D85" s="1" t="s">
        <v>311</v>
      </c>
      <c r="E85" s="1" t="s">
        <v>479</v>
      </c>
      <c r="F85" s="1" t="s">
        <v>479</v>
      </c>
      <c r="G85" s="1">
        <v>11.17</v>
      </c>
      <c r="H85" s="1">
        <v>9.18</v>
      </c>
      <c r="I85" s="1">
        <v>25</v>
      </c>
      <c r="J85" s="1" t="s">
        <v>313</v>
      </c>
      <c r="K85" s="1">
        <v>48</v>
      </c>
      <c r="L85" s="8">
        <v>0.01</v>
      </c>
      <c r="M85" s="1" t="s">
        <v>20</v>
      </c>
      <c r="N85" s="1" t="s">
        <v>1125</v>
      </c>
      <c r="O85" s="1" t="s">
        <v>1126</v>
      </c>
    </row>
    <row r="86" spans="1:15" ht="17.25" customHeight="1" x14ac:dyDescent="0.2">
      <c r="A86" s="22" t="s">
        <v>431</v>
      </c>
      <c r="B86" s="1" t="s">
        <v>431</v>
      </c>
      <c r="C86" s="6" t="s">
        <v>37</v>
      </c>
      <c r="D86" s="1" t="s">
        <v>347</v>
      </c>
      <c r="E86" s="1" t="s">
        <v>366</v>
      </c>
      <c r="F86" s="1" t="s">
        <v>367</v>
      </c>
      <c r="G86" s="1">
        <v>15.3</v>
      </c>
      <c r="H86" s="1">
        <v>11.64</v>
      </c>
      <c r="I86" s="1">
        <v>45</v>
      </c>
      <c r="J86" s="1" t="s">
        <v>243</v>
      </c>
      <c r="K86" s="1">
        <v>50</v>
      </c>
      <c r="L86" s="7">
        <v>0.06</v>
      </c>
      <c r="M86" s="1" t="s">
        <v>156</v>
      </c>
      <c r="N86" s="1"/>
      <c r="O86" s="1" t="s">
        <v>1353</v>
      </c>
    </row>
    <row r="87" spans="1:15" ht="17.25" customHeight="1" x14ac:dyDescent="0.2">
      <c r="A87" s="22" t="s">
        <v>432</v>
      </c>
      <c r="B87" s="1" t="s">
        <v>432</v>
      </c>
      <c r="C87" s="6" t="s">
        <v>22</v>
      </c>
      <c r="D87" s="1" t="s">
        <v>306</v>
      </c>
      <c r="E87" s="1" t="s">
        <v>479</v>
      </c>
      <c r="F87" s="1" t="s">
        <v>479</v>
      </c>
      <c r="G87" s="1">
        <v>12.88</v>
      </c>
      <c r="H87" s="1">
        <v>11.81</v>
      </c>
      <c r="I87" s="1">
        <v>12</v>
      </c>
      <c r="J87" s="1" t="s">
        <v>307</v>
      </c>
      <c r="K87" s="1">
        <v>60</v>
      </c>
      <c r="L87" s="8">
        <v>0.09</v>
      </c>
      <c r="M87" s="1"/>
      <c r="N87" s="1" t="s">
        <v>433</v>
      </c>
      <c r="O87" s="1" t="s">
        <v>1127</v>
      </c>
    </row>
    <row r="88" spans="1:15" ht="17.25" customHeight="1" x14ac:dyDescent="0.2">
      <c r="A88" s="22" t="s">
        <v>434</v>
      </c>
      <c r="B88" s="1" t="s">
        <v>434</v>
      </c>
      <c r="C88" s="6" t="s">
        <v>26</v>
      </c>
      <c r="D88" s="1" t="s">
        <v>306</v>
      </c>
      <c r="E88" s="1" t="s">
        <v>479</v>
      </c>
      <c r="F88" s="1" t="s">
        <v>479</v>
      </c>
      <c r="G88" s="1">
        <v>12.62</v>
      </c>
      <c r="H88" s="1">
        <v>10.76</v>
      </c>
      <c r="I88" s="1">
        <v>25</v>
      </c>
      <c r="J88" s="1" t="s">
        <v>307</v>
      </c>
      <c r="K88" s="1">
        <v>60</v>
      </c>
      <c r="L88" s="8">
        <v>9.5000000000000001E-2</v>
      </c>
      <c r="M88" s="1"/>
      <c r="N88" s="1" t="s">
        <v>1128</v>
      </c>
      <c r="O88" s="1" t="s">
        <v>1129</v>
      </c>
    </row>
    <row r="89" spans="1:15" ht="17.25" customHeight="1" x14ac:dyDescent="0.2">
      <c r="A89" s="22" t="s">
        <v>435</v>
      </c>
      <c r="B89" s="1" t="s">
        <v>435</v>
      </c>
      <c r="C89" s="6" t="s">
        <v>37</v>
      </c>
      <c r="D89" s="1" t="s">
        <v>306</v>
      </c>
      <c r="E89" s="1" t="s">
        <v>479</v>
      </c>
      <c r="F89" s="1" t="s">
        <v>479</v>
      </c>
      <c r="G89" s="1">
        <v>12.37</v>
      </c>
      <c r="H89" s="1">
        <v>10.44</v>
      </c>
      <c r="I89" s="1">
        <v>45</v>
      </c>
      <c r="J89" s="1" t="s">
        <v>307</v>
      </c>
      <c r="K89" s="1">
        <v>60</v>
      </c>
      <c r="L89" s="7">
        <v>0.1</v>
      </c>
      <c r="M89" s="1" t="s">
        <v>262</v>
      </c>
      <c r="N89" s="1" t="s">
        <v>436</v>
      </c>
      <c r="O89" s="1" t="s">
        <v>1130</v>
      </c>
    </row>
    <row r="90" spans="1:15" ht="17.25" customHeight="1" x14ac:dyDescent="0.2">
      <c r="A90" s="22" t="s">
        <v>437</v>
      </c>
      <c r="B90" s="1" t="s">
        <v>437</v>
      </c>
      <c r="C90" s="6" t="s">
        <v>17</v>
      </c>
      <c r="D90" s="1" t="s">
        <v>402</v>
      </c>
      <c r="E90" s="1" t="s">
        <v>479</v>
      </c>
      <c r="F90" s="1" t="s">
        <v>479</v>
      </c>
      <c r="G90" s="1">
        <v>18.29</v>
      </c>
      <c r="H90" s="1">
        <v>17.39</v>
      </c>
      <c r="I90" s="1">
        <v>0</v>
      </c>
      <c r="J90" s="1" t="s">
        <v>313</v>
      </c>
      <c r="K90" s="1">
        <v>46</v>
      </c>
      <c r="L90" s="7">
        <v>8.0000000000000002E-3</v>
      </c>
      <c r="M90" s="1" t="s">
        <v>21</v>
      </c>
      <c r="N90" s="1"/>
      <c r="O90" s="1" t="s">
        <v>1131</v>
      </c>
    </row>
    <row r="91" spans="1:15" ht="17.25" customHeight="1" x14ac:dyDescent="0.2">
      <c r="A91" s="22" t="s">
        <v>438</v>
      </c>
      <c r="B91" s="1" t="s">
        <v>438</v>
      </c>
      <c r="C91" s="6" t="s">
        <v>22</v>
      </c>
      <c r="D91" s="1" t="s">
        <v>402</v>
      </c>
      <c r="E91" s="1" t="s">
        <v>479</v>
      </c>
      <c r="F91" s="1" t="s">
        <v>479</v>
      </c>
      <c r="G91" s="1">
        <v>17.62</v>
      </c>
      <c r="H91" s="1">
        <v>15.83</v>
      </c>
      <c r="I91" s="1">
        <v>12</v>
      </c>
      <c r="J91" s="1" t="s">
        <v>313</v>
      </c>
      <c r="K91" s="1">
        <v>46</v>
      </c>
      <c r="L91" s="8">
        <v>8.9999999999999993E-3</v>
      </c>
      <c r="M91" s="1" t="s">
        <v>21</v>
      </c>
      <c r="N91" s="1" t="s">
        <v>439</v>
      </c>
      <c r="O91" s="1" t="s">
        <v>1132</v>
      </c>
    </row>
    <row r="92" spans="1:15" ht="17.25" customHeight="1" x14ac:dyDescent="0.2">
      <c r="A92" s="22" t="s">
        <v>440</v>
      </c>
      <c r="B92" s="1" t="s">
        <v>440</v>
      </c>
      <c r="C92" s="6" t="s">
        <v>26</v>
      </c>
      <c r="D92" s="1" t="s">
        <v>402</v>
      </c>
      <c r="E92" s="1" t="s">
        <v>479</v>
      </c>
      <c r="F92" s="1" t="s">
        <v>479</v>
      </c>
      <c r="G92" s="1">
        <v>16.96</v>
      </c>
      <c r="H92" s="1">
        <v>13.97</v>
      </c>
      <c r="I92" s="1">
        <v>25</v>
      </c>
      <c r="J92" s="1" t="s">
        <v>313</v>
      </c>
      <c r="K92" s="1">
        <v>46</v>
      </c>
      <c r="L92" s="8">
        <v>0.01</v>
      </c>
      <c r="M92" s="1" t="s">
        <v>21</v>
      </c>
      <c r="N92" s="1" t="s">
        <v>1354</v>
      </c>
      <c r="O92" s="1" t="s">
        <v>1133</v>
      </c>
    </row>
    <row r="93" spans="1:15" ht="17.25" customHeight="1" x14ac:dyDescent="0.2">
      <c r="A93" s="22" t="s">
        <v>441</v>
      </c>
      <c r="B93" s="1" t="s">
        <v>441</v>
      </c>
      <c r="C93" s="6" t="s">
        <v>37</v>
      </c>
      <c r="D93" s="1" t="s">
        <v>311</v>
      </c>
      <c r="E93" s="1" t="s">
        <v>479</v>
      </c>
      <c r="F93" s="1" t="s">
        <v>479</v>
      </c>
      <c r="G93" s="1">
        <v>13.77</v>
      </c>
      <c r="H93" s="1">
        <v>11.11</v>
      </c>
      <c r="I93" s="1">
        <v>45</v>
      </c>
      <c r="J93" s="1" t="s">
        <v>313</v>
      </c>
      <c r="K93" s="1">
        <v>47</v>
      </c>
      <c r="L93" s="7">
        <v>7.0000000000000007E-2</v>
      </c>
      <c r="M93" s="1" t="s">
        <v>156</v>
      </c>
      <c r="N93" s="1"/>
      <c r="O93" s="1" t="s">
        <v>1355</v>
      </c>
    </row>
    <row r="94" spans="1:15" ht="17.25" customHeight="1" x14ac:dyDescent="0.2">
      <c r="A94" s="22" t="s">
        <v>442</v>
      </c>
      <c r="B94" s="1" t="s">
        <v>442</v>
      </c>
      <c r="C94" s="6" t="s">
        <v>17</v>
      </c>
      <c r="D94" s="1" t="s">
        <v>311</v>
      </c>
      <c r="E94" s="1" t="s">
        <v>479</v>
      </c>
      <c r="F94" s="1" t="s">
        <v>479</v>
      </c>
      <c r="G94" s="1">
        <v>13.37</v>
      </c>
      <c r="H94" s="1">
        <v>12.77</v>
      </c>
      <c r="I94" s="1">
        <v>0</v>
      </c>
      <c r="J94" s="1" t="s">
        <v>313</v>
      </c>
      <c r="K94" s="1">
        <v>45</v>
      </c>
      <c r="L94" s="7">
        <v>8.0000000000000002E-3</v>
      </c>
      <c r="M94" s="1" t="s">
        <v>20</v>
      </c>
      <c r="N94" s="1"/>
      <c r="O94" s="1" t="s">
        <v>1134</v>
      </c>
    </row>
    <row r="95" spans="1:15" ht="17.25" customHeight="1" x14ac:dyDescent="0.2">
      <c r="A95" s="22" t="s">
        <v>443</v>
      </c>
      <c r="B95" s="1" t="s">
        <v>443</v>
      </c>
      <c r="C95" s="6" t="s">
        <v>17</v>
      </c>
      <c r="D95" s="1" t="s">
        <v>311</v>
      </c>
      <c r="E95" s="1" t="s">
        <v>479</v>
      </c>
      <c r="F95" s="1" t="s">
        <v>479</v>
      </c>
      <c r="G95" s="1">
        <v>13.17</v>
      </c>
      <c r="H95" s="1">
        <v>12.57</v>
      </c>
      <c r="I95" s="1">
        <v>5</v>
      </c>
      <c r="J95" s="1" t="s">
        <v>313</v>
      </c>
      <c r="K95" s="1">
        <v>45</v>
      </c>
      <c r="L95" s="8">
        <v>8.9999999999999993E-3</v>
      </c>
      <c r="M95" s="1" t="s">
        <v>20</v>
      </c>
      <c r="N95" s="1"/>
      <c r="O95" s="1" t="s">
        <v>1135</v>
      </c>
    </row>
    <row r="96" spans="1:15" ht="17.25" customHeight="1" x14ac:dyDescent="0.2">
      <c r="A96" s="22" t="s">
        <v>444</v>
      </c>
      <c r="B96" s="1" t="s">
        <v>444</v>
      </c>
      <c r="C96" s="6" t="s">
        <v>22</v>
      </c>
      <c r="D96" s="1" t="s">
        <v>311</v>
      </c>
      <c r="E96" s="1" t="s">
        <v>479</v>
      </c>
      <c r="F96" s="1" t="s">
        <v>479</v>
      </c>
      <c r="G96" s="1">
        <v>12.97</v>
      </c>
      <c r="H96" s="1">
        <v>11.77</v>
      </c>
      <c r="I96" s="1">
        <v>12</v>
      </c>
      <c r="J96" s="1" t="s">
        <v>313</v>
      </c>
      <c r="K96" s="1">
        <v>45</v>
      </c>
      <c r="L96" s="7">
        <v>0.01</v>
      </c>
      <c r="M96" s="1" t="s">
        <v>20</v>
      </c>
      <c r="N96" s="1" t="s">
        <v>445</v>
      </c>
      <c r="O96" s="1" t="s">
        <v>1136</v>
      </c>
    </row>
    <row r="97" spans="1:15" ht="17.25" customHeight="1" x14ac:dyDescent="0.2">
      <c r="A97" s="22" t="s">
        <v>446</v>
      </c>
      <c r="B97" s="1" t="s">
        <v>446</v>
      </c>
      <c r="C97" s="6" t="s">
        <v>17</v>
      </c>
      <c r="D97" s="1" t="s">
        <v>306</v>
      </c>
      <c r="E97" s="1" t="s">
        <v>479</v>
      </c>
      <c r="F97" s="1" t="s">
        <v>479</v>
      </c>
      <c r="G97" s="1">
        <v>12.06</v>
      </c>
      <c r="H97" s="1">
        <v>11.63</v>
      </c>
      <c r="I97" s="1">
        <v>5</v>
      </c>
      <c r="J97" s="1" t="s">
        <v>307</v>
      </c>
      <c r="K97" s="1">
        <v>52</v>
      </c>
      <c r="L97" s="7">
        <v>0.08</v>
      </c>
      <c r="M97" s="1" t="s">
        <v>21</v>
      </c>
      <c r="N97" s="1"/>
      <c r="O97" s="1" t="s">
        <v>1137</v>
      </c>
    </row>
    <row r="98" spans="1:15" ht="17.25" customHeight="1" x14ac:dyDescent="0.2">
      <c r="A98" s="22" t="s">
        <v>447</v>
      </c>
      <c r="B98" s="1" t="s">
        <v>447</v>
      </c>
      <c r="C98" s="6" t="s">
        <v>22</v>
      </c>
      <c r="D98" s="1" t="s">
        <v>306</v>
      </c>
      <c r="E98" s="1" t="s">
        <v>479</v>
      </c>
      <c r="F98" s="1" t="s">
        <v>479</v>
      </c>
      <c r="G98" s="1">
        <v>11.82</v>
      </c>
      <c r="H98" s="1">
        <v>10.95</v>
      </c>
      <c r="I98" s="1">
        <v>12</v>
      </c>
      <c r="J98" s="1" t="s">
        <v>307</v>
      </c>
      <c r="K98" s="1">
        <v>55</v>
      </c>
      <c r="L98" s="8">
        <v>8.5000000000000006E-2</v>
      </c>
      <c r="M98" s="1" t="s">
        <v>21</v>
      </c>
      <c r="N98" s="1"/>
      <c r="O98" s="1" t="s">
        <v>1138</v>
      </c>
    </row>
    <row r="99" spans="1:15" ht="17.25" customHeight="1" x14ac:dyDescent="0.2">
      <c r="A99" s="22" t="s">
        <v>448</v>
      </c>
      <c r="B99" s="1" t="s">
        <v>448</v>
      </c>
      <c r="C99" s="6" t="s">
        <v>26</v>
      </c>
      <c r="D99" s="1" t="s">
        <v>306</v>
      </c>
      <c r="E99" s="1" t="s">
        <v>479</v>
      </c>
      <c r="F99" s="1" t="s">
        <v>479</v>
      </c>
      <c r="G99" s="1">
        <v>11.71</v>
      </c>
      <c r="H99" s="1">
        <v>10.24</v>
      </c>
      <c r="I99" s="1">
        <v>25</v>
      </c>
      <c r="J99" s="1" t="s">
        <v>307</v>
      </c>
      <c r="K99" s="1">
        <v>52</v>
      </c>
      <c r="L99" s="7">
        <v>0.09</v>
      </c>
      <c r="M99" s="1" t="s">
        <v>21</v>
      </c>
      <c r="N99" s="1" t="s">
        <v>1139</v>
      </c>
      <c r="O99" s="1" t="s">
        <v>1140</v>
      </c>
    </row>
    <row r="100" spans="1:15" ht="17.25" customHeight="1" x14ac:dyDescent="0.2">
      <c r="A100" s="22" t="s">
        <v>449</v>
      </c>
      <c r="B100" s="1" t="s">
        <v>449</v>
      </c>
      <c r="C100" s="6" t="s">
        <v>22</v>
      </c>
      <c r="D100" s="1" t="s">
        <v>306</v>
      </c>
      <c r="E100" s="1" t="s">
        <v>479</v>
      </c>
      <c r="F100" s="1" t="s">
        <v>479</v>
      </c>
      <c r="G100" s="1">
        <v>11.47</v>
      </c>
      <c r="H100" s="1">
        <v>10.59</v>
      </c>
      <c r="I100" s="1">
        <v>12</v>
      </c>
      <c r="J100" s="1" t="s">
        <v>307</v>
      </c>
      <c r="K100" s="1">
        <v>55</v>
      </c>
      <c r="L100" s="7">
        <v>0.08</v>
      </c>
      <c r="M100" s="1" t="s">
        <v>21</v>
      </c>
      <c r="N100" s="1"/>
      <c r="O100" s="1" t="s">
        <v>1141</v>
      </c>
    </row>
    <row r="101" spans="1:15" ht="17.25" customHeight="1" x14ac:dyDescent="0.2">
      <c r="A101" s="22" t="s">
        <v>450</v>
      </c>
      <c r="B101" s="1" t="s">
        <v>450</v>
      </c>
      <c r="C101" s="6" t="s">
        <v>26</v>
      </c>
      <c r="D101" s="1" t="s">
        <v>306</v>
      </c>
      <c r="E101" s="1" t="s">
        <v>479</v>
      </c>
      <c r="F101" s="1" t="s">
        <v>479</v>
      </c>
      <c r="G101" s="1">
        <v>11.23</v>
      </c>
      <c r="H101" s="1">
        <v>9.76</v>
      </c>
      <c r="I101" s="1">
        <v>25</v>
      </c>
      <c r="J101" s="1" t="s">
        <v>307</v>
      </c>
      <c r="K101" s="1">
        <v>55</v>
      </c>
      <c r="L101" s="7">
        <v>8.5000000000000006E-2</v>
      </c>
      <c r="M101" s="1" t="s">
        <v>21</v>
      </c>
      <c r="N101" s="1" t="s">
        <v>1142</v>
      </c>
      <c r="O101" s="1" t="s">
        <v>1143</v>
      </c>
    </row>
    <row r="102" spans="1:15" ht="17.25" customHeight="1" x14ac:dyDescent="0.2">
      <c r="A102" s="22" t="s">
        <v>451</v>
      </c>
      <c r="B102" s="1" t="s">
        <v>451</v>
      </c>
      <c r="C102" s="6" t="s">
        <v>37</v>
      </c>
      <c r="D102" s="1" t="s">
        <v>306</v>
      </c>
      <c r="E102" s="1" t="s">
        <v>479</v>
      </c>
      <c r="F102" s="1" t="s">
        <v>479</v>
      </c>
      <c r="G102" s="1">
        <v>10.99</v>
      </c>
      <c r="H102" s="1">
        <v>9.52</v>
      </c>
      <c r="I102" s="1">
        <v>45</v>
      </c>
      <c r="J102" s="1" t="s">
        <v>307</v>
      </c>
      <c r="K102" s="1">
        <v>55</v>
      </c>
      <c r="L102" s="7">
        <v>0.09</v>
      </c>
      <c r="M102" s="1" t="s">
        <v>21</v>
      </c>
      <c r="N102" s="1" t="s">
        <v>1144</v>
      </c>
      <c r="O102" s="1" t="s">
        <v>1145</v>
      </c>
    </row>
    <row r="103" spans="1:15" ht="17.25" customHeight="1" x14ac:dyDescent="0.2">
      <c r="A103" s="22" t="s">
        <v>1146</v>
      </c>
      <c r="B103" s="1" t="s">
        <v>1146</v>
      </c>
      <c r="C103" s="6" t="s">
        <v>17</v>
      </c>
      <c r="D103" s="1" t="s">
        <v>347</v>
      </c>
      <c r="E103" s="1" t="s">
        <v>351</v>
      </c>
      <c r="F103" s="1" t="s">
        <v>352</v>
      </c>
      <c r="G103" s="1">
        <v>12.64</v>
      </c>
      <c r="H103" s="1">
        <v>12.04</v>
      </c>
      <c r="I103" s="1">
        <v>5</v>
      </c>
      <c r="J103" s="1" t="s">
        <v>243</v>
      </c>
      <c r="K103" s="1">
        <v>45</v>
      </c>
      <c r="L103" s="7">
        <v>0.03</v>
      </c>
      <c r="M103" s="1"/>
      <c r="N103" s="1"/>
      <c r="O103" s="1" t="s">
        <v>1147</v>
      </c>
    </row>
    <row r="104" spans="1:15" ht="17.25" customHeight="1" x14ac:dyDescent="0.2">
      <c r="A104" s="22" t="s">
        <v>1148</v>
      </c>
      <c r="B104" s="1" t="s">
        <v>1148</v>
      </c>
      <c r="C104" s="6" t="s">
        <v>22</v>
      </c>
      <c r="D104" s="1" t="s">
        <v>347</v>
      </c>
      <c r="E104" s="1" t="s">
        <v>354</v>
      </c>
      <c r="F104" s="1" t="s">
        <v>386</v>
      </c>
      <c r="G104" s="1">
        <v>12.64</v>
      </c>
      <c r="H104" s="1">
        <v>11.24</v>
      </c>
      <c r="I104" s="1">
        <v>12</v>
      </c>
      <c r="J104" s="1" t="s">
        <v>243</v>
      </c>
      <c r="K104" s="1">
        <v>45</v>
      </c>
      <c r="L104" s="7">
        <v>3.5000000000000003E-2</v>
      </c>
      <c r="M104" s="1"/>
      <c r="N104" s="1" t="s">
        <v>1149</v>
      </c>
      <c r="O104" s="1" t="s">
        <v>1150</v>
      </c>
    </row>
    <row r="105" spans="1:15" ht="17.25" customHeight="1" x14ac:dyDescent="0.2">
      <c r="A105" s="22" t="s">
        <v>1151</v>
      </c>
      <c r="B105" s="1" t="s">
        <v>1151</v>
      </c>
      <c r="C105" s="6" t="s">
        <v>26</v>
      </c>
      <c r="D105" s="1" t="s">
        <v>347</v>
      </c>
      <c r="E105" s="1" t="s">
        <v>357</v>
      </c>
      <c r="F105" s="1" t="s">
        <v>312</v>
      </c>
      <c r="G105" s="1">
        <v>12.3</v>
      </c>
      <c r="H105" s="1">
        <v>9.98</v>
      </c>
      <c r="I105" s="1">
        <v>25</v>
      </c>
      <c r="J105" s="1" t="s">
        <v>243</v>
      </c>
      <c r="K105" s="1">
        <v>45</v>
      </c>
      <c r="L105" s="7">
        <v>0.04</v>
      </c>
      <c r="M105" s="1" t="s">
        <v>262</v>
      </c>
      <c r="N105" s="1" t="s">
        <v>1152</v>
      </c>
      <c r="O105" s="1" t="s">
        <v>1153</v>
      </c>
    </row>
    <row r="106" spans="1:15" ht="17.25" customHeight="1" x14ac:dyDescent="0.2">
      <c r="A106" s="22"/>
      <c r="B106" s="1"/>
      <c r="D106" s="1"/>
      <c r="E106" s="1"/>
      <c r="F106" s="1"/>
      <c r="G106" s="1"/>
      <c r="H106" s="1"/>
      <c r="I106" s="1"/>
      <c r="J106" s="1"/>
      <c r="K106" s="1"/>
      <c r="L106" s="7"/>
      <c r="M106" s="1"/>
      <c r="N106" s="1"/>
      <c r="O106" s="1"/>
    </row>
    <row r="107" spans="1:15" ht="17.25" customHeight="1" x14ac:dyDescent="0.2">
      <c r="A107" s="22"/>
      <c r="B107" s="1"/>
      <c r="D107" s="1"/>
      <c r="E107" s="1"/>
      <c r="F107" s="1"/>
      <c r="G107" s="1"/>
      <c r="H107" s="1"/>
      <c r="I107" s="1"/>
      <c r="J107" s="1"/>
      <c r="K107" s="1"/>
      <c r="L107" s="7"/>
      <c r="M107" s="1"/>
      <c r="N107" s="1"/>
      <c r="O107" s="1"/>
    </row>
    <row r="108" spans="1:15" ht="17.25" customHeight="1" x14ac:dyDescent="0.2">
      <c r="A108" s="22"/>
      <c r="B108" s="1"/>
      <c r="D108" s="1"/>
      <c r="E108" s="1"/>
      <c r="F108" s="1"/>
      <c r="G108" s="1"/>
      <c r="H108" s="1"/>
      <c r="I108" s="1"/>
      <c r="J108" s="1"/>
      <c r="K108" s="1"/>
      <c r="L108" s="7"/>
      <c r="M108" s="1"/>
      <c r="N108" s="1"/>
      <c r="O108" s="1"/>
    </row>
  </sheetData>
  <autoFilter ref="A1:O101"/>
  <phoneticPr fontId="1" type="noConversion"/>
  <conditionalFormatting sqref="C1:C99 C109:C1048576">
    <cfRule type="cellIs" dxfId="14" priority="4" operator="equal">
      <formula>"紫色"</formula>
    </cfRule>
    <cfRule type="cellIs" dxfId="13" priority="5" operator="equal">
      <formula>"金色"</formula>
    </cfRule>
    <cfRule type="cellIs" dxfId="12" priority="6" operator="equal">
      <formula>"蓝色"</formula>
    </cfRule>
  </conditionalFormatting>
  <conditionalFormatting sqref="C100:C108">
    <cfRule type="cellIs" dxfId="11" priority="1" operator="equal">
      <formula>"紫色"</formula>
    </cfRule>
    <cfRule type="cellIs" dxfId="10" priority="2" operator="equal">
      <formula>"金色"</formula>
    </cfRule>
    <cfRule type="cellIs" dxfId="9" priority="3" operator="equal">
      <formula>"蓝色"</formula>
    </cfRule>
  </conditionalFormatting>
  <pageMargins left="0.7" right="0.7" top="0.75" bottom="0.75" header="0.3" footer="0.3"/>
  <pageSetup paperSize="9" orientation="portrait" horizontalDpi="4294967294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108"/>
  <sheetViews>
    <sheetView workbookViewId="0">
      <selection activeCell="E10" sqref="E10"/>
    </sheetView>
  </sheetViews>
  <sheetFormatPr defaultRowHeight="14.25" x14ac:dyDescent="0.2"/>
  <cols>
    <col min="1" max="1" width="2.875" style="6" customWidth="1"/>
    <col min="2" max="2" width="25.75" style="6" customWidth="1"/>
    <col min="3" max="16384" width="9" style="6"/>
  </cols>
  <sheetData>
    <row r="1" spans="1:27" s="5" customFormat="1" x14ac:dyDescent="0.2">
      <c r="B1" s="4" t="s">
        <v>0</v>
      </c>
      <c r="C1" s="4" t="s">
        <v>1</v>
      </c>
      <c r="D1" s="4" t="s">
        <v>2</v>
      </c>
      <c r="E1" s="4" t="s">
        <v>14</v>
      </c>
      <c r="F1" s="4" t="s">
        <v>469</v>
      </c>
      <c r="G1" s="4" t="s">
        <v>470</v>
      </c>
      <c r="H1" s="4" t="s">
        <v>471</v>
      </c>
      <c r="I1" s="4" t="s">
        <v>472</v>
      </c>
      <c r="J1" s="4" t="s">
        <v>473</v>
      </c>
      <c r="K1" s="4" t="s">
        <v>474</v>
      </c>
      <c r="L1" s="4" t="s">
        <v>475</v>
      </c>
      <c r="M1" s="4" t="s">
        <v>476</v>
      </c>
      <c r="N1" s="4" t="s">
        <v>477</v>
      </c>
      <c r="O1" s="4" t="s">
        <v>15</v>
      </c>
      <c r="P1" s="4" t="s">
        <v>16</v>
      </c>
      <c r="Q1" s="4"/>
      <c r="R1" s="4"/>
    </row>
    <row r="2" spans="1:27" ht="16.5" customHeight="1" x14ac:dyDescent="0.2">
      <c r="A2" s="22" t="s">
        <v>1415</v>
      </c>
      <c r="B2" s="1" t="s">
        <v>1414</v>
      </c>
      <c r="C2" s="1" t="s">
        <v>26</v>
      </c>
      <c r="D2" s="1" t="s">
        <v>1154</v>
      </c>
      <c r="E2" s="1" t="s">
        <v>156</v>
      </c>
      <c r="F2" s="1" t="s">
        <v>478</v>
      </c>
      <c r="G2" s="1" t="s">
        <v>479</v>
      </c>
      <c r="H2" s="1" t="s">
        <v>479</v>
      </c>
      <c r="I2" s="7" t="s">
        <v>479</v>
      </c>
      <c r="J2" s="1" t="s">
        <v>479</v>
      </c>
      <c r="K2" s="1" t="s">
        <v>479</v>
      </c>
      <c r="L2" s="1" t="s">
        <v>479</v>
      </c>
      <c r="M2" s="1" t="s">
        <v>479</v>
      </c>
      <c r="N2" s="1" t="s">
        <v>1155</v>
      </c>
      <c r="O2" s="1"/>
      <c r="P2" s="1" t="s">
        <v>1156</v>
      </c>
      <c r="Q2" s="1"/>
      <c r="R2" s="1" t="s">
        <v>480</v>
      </c>
    </row>
    <row r="3" spans="1:27" ht="16.5" customHeight="1" x14ac:dyDescent="0.2">
      <c r="A3" s="22" t="s">
        <v>481</v>
      </c>
      <c r="B3" s="1" t="s">
        <v>481</v>
      </c>
      <c r="C3" s="1" t="s">
        <v>26</v>
      </c>
      <c r="D3" s="1" t="s">
        <v>1157</v>
      </c>
      <c r="E3" s="1" t="s">
        <v>156</v>
      </c>
      <c r="F3" s="1" t="s">
        <v>483</v>
      </c>
      <c r="G3" s="1" t="s">
        <v>484</v>
      </c>
      <c r="H3" s="1" t="s">
        <v>479</v>
      </c>
      <c r="I3" s="8" t="s">
        <v>479</v>
      </c>
      <c r="J3" s="1" t="s">
        <v>479</v>
      </c>
      <c r="K3" s="1" t="s">
        <v>479</v>
      </c>
      <c r="L3" s="1" t="s">
        <v>479</v>
      </c>
      <c r="M3" s="1" t="s">
        <v>479</v>
      </c>
      <c r="N3" s="1"/>
      <c r="O3" s="1"/>
      <c r="P3" s="1" t="s">
        <v>1158</v>
      </c>
      <c r="Q3" s="1" t="s">
        <v>483</v>
      </c>
      <c r="R3" s="1" t="s">
        <v>484</v>
      </c>
      <c r="S3" s="6" t="s">
        <v>479</v>
      </c>
      <c r="T3" s="6" t="s">
        <v>479</v>
      </c>
      <c r="U3" s="6" t="s">
        <v>479</v>
      </c>
      <c r="V3" s="6" t="s">
        <v>479</v>
      </c>
      <c r="W3" s="6" t="s">
        <v>479</v>
      </c>
      <c r="X3" s="6" t="s">
        <v>479</v>
      </c>
      <c r="AA3" s="6" t="s">
        <v>485</v>
      </c>
    </row>
    <row r="4" spans="1:27" ht="16.5" customHeight="1" x14ac:dyDescent="0.2">
      <c r="A4" s="22" t="s">
        <v>486</v>
      </c>
      <c r="B4" s="1" t="s">
        <v>486</v>
      </c>
      <c r="C4" s="1" t="s">
        <v>26</v>
      </c>
      <c r="D4" s="1" t="s">
        <v>487</v>
      </c>
      <c r="E4" s="1" t="s">
        <v>38</v>
      </c>
      <c r="F4" s="1" t="s">
        <v>488</v>
      </c>
      <c r="G4" s="1" t="s">
        <v>479</v>
      </c>
      <c r="H4" s="1" t="s">
        <v>479</v>
      </c>
      <c r="I4" s="7" t="s">
        <v>479</v>
      </c>
      <c r="J4" s="1" t="s">
        <v>479</v>
      </c>
      <c r="K4" s="1" t="s">
        <v>479</v>
      </c>
      <c r="L4" s="1" t="s">
        <v>479</v>
      </c>
      <c r="M4" s="1" t="s">
        <v>479</v>
      </c>
      <c r="N4" s="1"/>
      <c r="O4" s="1"/>
      <c r="P4" s="1" t="s">
        <v>1159</v>
      </c>
      <c r="Q4" s="1"/>
      <c r="R4" s="1"/>
    </row>
    <row r="5" spans="1:27" ht="16.5" customHeight="1" x14ac:dyDescent="0.2">
      <c r="A5" s="22" t="s">
        <v>1160</v>
      </c>
      <c r="B5" s="1" t="s">
        <v>1160</v>
      </c>
      <c r="C5" s="1" t="s">
        <v>37</v>
      </c>
      <c r="D5" s="1" t="s">
        <v>1157</v>
      </c>
      <c r="E5" s="1" t="s">
        <v>38</v>
      </c>
      <c r="F5" s="1" t="s">
        <v>1161</v>
      </c>
      <c r="G5" s="1" t="s">
        <v>479</v>
      </c>
      <c r="H5" s="1" t="s">
        <v>479</v>
      </c>
      <c r="I5" s="8" t="s">
        <v>479</v>
      </c>
      <c r="J5" s="1" t="s">
        <v>479</v>
      </c>
      <c r="K5" s="1" t="s">
        <v>479</v>
      </c>
      <c r="L5" s="1" t="s">
        <v>479</v>
      </c>
      <c r="M5" s="1" t="s">
        <v>479</v>
      </c>
      <c r="N5" s="1" t="s">
        <v>1162</v>
      </c>
      <c r="O5" s="1"/>
      <c r="P5" s="1" t="s">
        <v>1163</v>
      </c>
      <c r="Q5" s="1" t="s">
        <v>479</v>
      </c>
      <c r="R5" s="1" t="s">
        <v>479</v>
      </c>
      <c r="S5" s="6" t="s">
        <v>479</v>
      </c>
      <c r="T5" s="6" t="s">
        <v>479</v>
      </c>
      <c r="U5" s="6" t="s">
        <v>479</v>
      </c>
      <c r="V5" s="6" t="s">
        <v>479</v>
      </c>
      <c r="W5" s="6" t="s">
        <v>492</v>
      </c>
      <c r="Y5" s="6" t="s">
        <v>493</v>
      </c>
    </row>
    <row r="6" spans="1:27" ht="16.5" customHeight="1" x14ac:dyDescent="0.2">
      <c r="A6" s="22" t="s">
        <v>1384</v>
      </c>
      <c r="B6" s="1" t="s">
        <v>1384</v>
      </c>
      <c r="C6" s="1" t="s">
        <v>26</v>
      </c>
      <c r="D6" s="1" t="s">
        <v>1385</v>
      </c>
      <c r="E6" s="1" t="s">
        <v>38</v>
      </c>
      <c r="F6" s="1" t="s">
        <v>501</v>
      </c>
      <c r="G6" s="1" t="s">
        <v>1386</v>
      </c>
      <c r="H6" s="1" t="s">
        <v>479</v>
      </c>
      <c r="I6" s="8" t="s">
        <v>479</v>
      </c>
      <c r="J6" s="1" t="s">
        <v>479</v>
      </c>
      <c r="K6" s="1" t="s">
        <v>479</v>
      </c>
      <c r="L6" s="1" t="s">
        <v>479</v>
      </c>
      <c r="M6" s="1" t="s">
        <v>479</v>
      </c>
      <c r="N6" s="1" t="s">
        <v>1387</v>
      </c>
      <c r="O6" s="1"/>
      <c r="P6" s="1" t="s">
        <v>1388</v>
      </c>
      <c r="Q6" s="1" t="s">
        <v>479</v>
      </c>
      <c r="R6" s="1" t="s">
        <v>479</v>
      </c>
      <c r="S6" s="6" t="s">
        <v>479</v>
      </c>
      <c r="T6" s="6" t="s">
        <v>479</v>
      </c>
      <c r="U6" s="6" t="s">
        <v>479</v>
      </c>
      <c r="V6" s="6" t="s">
        <v>479</v>
      </c>
      <c r="W6" s="6" t="s">
        <v>497</v>
      </c>
      <c r="X6" s="6" t="s">
        <v>498</v>
      </c>
      <c r="Y6" s="6" t="s">
        <v>499</v>
      </c>
    </row>
    <row r="7" spans="1:27" ht="16.5" customHeight="1" x14ac:dyDescent="0.2">
      <c r="A7" s="22" t="s">
        <v>489</v>
      </c>
      <c r="B7" s="1" t="s">
        <v>489</v>
      </c>
      <c r="C7" s="1" t="s">
        <v>22</v>
      </c>
      <c r="D7" s="1" t="s">
        <v>1164</v>
      </c>
      <c r="E7" s="1" t="s">
        <v>24</v>
      </c>
      <c r="F7" s="1" t="s">
        <v>490</v>
      </c>
      <c r="G7" s="1" t="s">
        <v>491</v>
      </c>
      <c r="H7" s="1" t="s">
        <v>479</v>
      </c>
      <c r="I7" s="7" t="s">
        <v>479</v>
      </c>
      <c r="J7" s="1" t="s">
        <v>479</v>
      </c>
      <c r="K7" s="1" t="s">
        <v>479</v>
      </c>
      <c r="L7" s="1" t="s">
        <v>479</v>
      </c>
      <c r="M7" s="1" t="s">
        <v>479</v>
      </c>
      <c r="N7" s="1" t="s">
        <v>492</v>
      </c>
      <c r="O7" s="1"/>
      <c r="P7" s="1" t="s">
        <v>1165</v>
      </c>
      <c r="Q7" s="1" t="s">
        <v>479</v>
      </c>
      <c r="R7" s="1" t="s">
        <v>479</v>
      </c>
      <c r="S7" s="6" t="s">
        <v>479</v>
      </c>
      <c r="T7" s="6" t="s">
        <v>479</v>
      </c>
      <c r="U7" s="6" t="s">
        <v>479</v>
      </c>
      <c r="V7" s="6" t="s">
        <v>479</v>
      </c>
      <c r="W7" s="6" t="s">
        <v>503</v>
      </c>
      <c r="X7" s="6" t="s">
        <v>504</v>
      </c>
      <c r="Y7" s="6" t="s">
        <v>505</v>
      </c>
    </row>
    <row r="8" spans="1:27" ht="16.5" customHeight="1" x14ac:dyDescent="0.2">
      <c r="A8" s="22" t="s">
        <v>494</v>
      </c>
      <c r="B8" s="1" t="s">
        <v>494</v>
      </c>
      <c r="C8" s="1" t="s">
        <v>26</v>
      </c>
      <c r="D8" s="1" t="s">
        <v>1164</v>
      </c>
      <c r="E8" s="1" t="s">
        <v>24</v>
      </c>
      <c r="F8" s="1" t="s">
        <v>495</v>
      </c>
      <c r="G8" s="1" t="s">
        <v>496</v>
      </c>
      <c r="H8" s="1" t="s">
        <v>479</v>
      </c>
      <c r="I8" s="7" t="s">
        <v>479</v>
      </c>
      <c r="J8" s="1" t="s">
        <v>479</v>
      </c>
      <c r="K8" s="1" t="s">
        <v>479</v>
      </c>
      <c r="L8" s="1" t="s">
        <v>479</v>
      </c>
      <c r="M8" s="1" t="s">
        <v>479</v>
      </c>
      <c r="N8" s="1" t="s">
        <v>497</v>
      </c>
      <c r="O8" s="1" t="s">
        <v>1389</v>
      </c>
      <c r="P8" s="1" t="s">
        <v>1166</v>
      </c>
      <c r="Q8" s="1"/>
      <c r="R8" s="1"/>
    </row>
    <row r="9" spans="1:27" ht="16.5" customHeight="1" x14ac:dyDescent="0.2">
      <c r="A9" s="22" t="s">
        <v>500</v>
      </c>
      <c r="B9" s="1" t="s">
        <v>500</v>
      </c>
      <c r="C9" s="1" t="s">
        <v>37</v>
      </c>
      <c r="D9" s="1" t="s">
        <v>1164</v>
      </c>
      <c r="E9" s="1" t="s">
        <v>24</v>
      </c>
      <c r="F9" s="1" t="s">
        <v>501</v>
      </c>
      <c r="G9" s="1" t="s">
        <v>502</v>
      </c>
      <c r="H9" s="1" t="s">
        <v>479</v>
      </c>
      <c r="I9" s="7" t="s">
        <v>479</v>
      </c>
      <c r="J9" s="1" t="s">
        <v>479</v>
      </c>
      <c r="K9" s="1" t="s">
        <v>479</v>
      </c>
      <c r="L9" s="1" t="s">
        <v>479</v>
      </c>
      <c r="M9" s="1" t="s">
        <v>479</v>
      </c>
      <c r="N9" s="1" t="s">
        <v>503</v>
      </c>
      <c r="O9" s="1" t="s">
        <v>1167</v>
      </c>
      <c r="P9" s="1" t="s">
        <v>1168</v>
      </c>
      <c r="Q9" s="1"/>
      <c r="R9" s="1"/>
    </row>
    <row r="10" spans="1:27" ht="16.5" customHeight="1" x14ac:dyDescent="0.2">
      <c r="A10" s="22" t="s">
        <v>506</v>
      </c>
      <c r="B10" s="1" t="s">
        <v>506</v>
      </c>
      <c r="C10" s="1" t="s">
        <v>17</v>
      </c>
      <c r="D10" s="1" t="s">
        <v>507</v>
      </c>
      <c r="E10" s="1" t="s">
        <v>284</v>
      </c>
      <c r="F10" s="1" t="s">
        <v>508</v>
      </c>
      <c r="G10" s="1" t="s">
        <v>509</v>
      </c>
      <c r="H10" s="1" t="s">
        <v>510</v>
      </c>
      <c r="I10" s="8" t="s">
        <v>479</v>
      </c>
      <c r="J10" s="1" t="s">
        <v>479</v>
      </c>
      <c r="K10" s="1" t="s">
        <v>479</v>
      </c>
      <c r="L10" s="1" t="s">
        <v>479</v>
      </c>
      <c r="M10" s="1" t="s">
        <v>479</v>
      </c>
      <c r="N10" s="1" t="s">
        <v>511</v>
      </c>
      <c r="O10" s="1"/>
      <c r="P10" s="1" t="s">
        <v>1169</v>
      </c>
      <c r="Q10" s="1"/>
      <c r="R10" s="1"/>
    </row>
    <row r="11" spans="1:27" ht="16.5" customHeight="1" x14ac:dyDescent="0.2">
      <c r="A11" s="22" t="s">
        <v>512</v>
      </c>
      <c r="B11" s="1" t="s">
        <v>512</v>
      </c>
      <c r="C11" s="1" t="s">
        <v>22</v>
      </c>
      <c r="D11" s="1" t="s">
        <v>507</v>
      </c>
      <c r="E11" s="1" t="s">
        <v>284</v>
      </c>
      <c r="F11" s="1" t="s">
        <v>513</v>
      </c>
      <c r="G11" s="1" t="s">
        <v>514</v>
      </c>
      <c r="H11" s="1" t="s">
        <v>515</v>
      </c>
      <c r="I11" s="7" t="s">
        <v>479</v>
      </c>
      <c r="J11" s="1" t="s">
        <v>479</v>
      </c>
      <c r="K11" s="1" t="s">
        <v>479</v>
      </c>
      <c r="L11" s="1" t="s">
        <v>479</v>
      </c>
      <c r="M11" s="1" t="s">
        <v>479</v>
      </c>
      <c r="N11" s="1" t="s">
        <v>511</v>
      </c>
      <c r="O11" s="1"/>
      <c r="P11" s="1" t="s">
        <v>1170</v>
      </c>
      <c r="Q11" s="1" t="s">
        <v>522</v>
      </c>
      <c r="R11" s="1"/>
      <c r="S11" s="6" t="s">
        <v>523</v>
      </c>
    </row>
    <row r="12" spans="1:27" ht="16.5" customHeight="1" x14ac:dyDescent="0.2">
      <c r="A12" s="22" t="s">
        <v>516</v>
      </c>
      <c r="B12" s="1" t="s">
        <v>516</v>
      </c>
      <c r="C12" s="1" t="s">
        <v>26</v>
      </c>
      <c r="D12" s="1" t="s">
        <v>507</v>
      </c>
      <c r="E12" s="1" t="s">
        <v>156</v>
      </c>
      <c r="F12" s="1" t="s">
        <v>517</v>
      </c>
      <c r="G12" s="1" t="s">
        <v>518</v>
      </c>
      <c r="H12" s="1" t="s">
        <v>519</v>
      </c>
      <c r="I12" s="7" t="s">
        <v>479</v>
      </c>
      <c r="J12" s="1" t="s">
        <v>479</v>
      </c>
      <c r="K12" s="1" t="s">
        <v>479</v>
      </c>
      <c r="L12" s="1" t="s">
        <v>479</v>
      </c>
      <c r="M12" s="1" t="s">
        <v>479</v>
      </c>
      <c r="N12" s="1" t="s">
        <v>511</v>
      </c>
      <c r="O12" s="1"/>
      <c r="P12" s="1" t="s">
        <v>1171</v>
      </c>
      <c r="Q12" s="1" t="s">
        <v>527</v>
      </c>
      <c r="R12" s="1" t="s">
        <v>528</v>
      </c>
    </row>
    <row r="13" spans="1:27" ht="16.5" customHeight="1" x14ac:dyDescent="0.2">
      <c r="A13" s="22" t="s">
        <v>1172</v>
      </c>
      <c r="B13" s="1" t="s">
        <v>1172</v>
      </c>
      <c r="C13" s="1" t="s">
        <v>26</v>
      </c>
      <c r="D13" s="1" t="s">
        <v>1173</v>
      </c>
      <c r="E13" s="1" t="s">
        <v>38</v>
      </c>
      <c r="F13" s="1" t="s">
        <v>1174</v>
      </c>
      <c r="G13" s="1" t="s">
        <v>479</v>
      </c>
      <c r="H13" s="1" t="s">
        <v>479</v>
      </c>
      <c r="I13" s="8" t="s">
        <v>479</v>
      </c>
      <c r="J13" s="1" t="s">
        <v>479</v>
      </c>
      <c r="K13" s="1" t="s">
        <v>479</v>
      </c>
      <c r="L13" s="1" t="s">
        <v>479</v>
      </c>
      <c r="M13" s="1" t="s">
        <v>479</v>
      </c>
      <c r="N13" s="1" t="s">
        <v>1175</v>
      </c>
      <c r="O13" s="1"/>
      <c r="P13" s="1" t="s">
        <v>1176</v>
      </c>
      <c r="Q13" s="1"/>
      <c r="R13" s="1" t="s">
        <v>533</v>
      </c>
    </row>
    <row r="14" spans="1:27" ht="16.5" customHeight="1" x14ac:dyDescent="0.2">
      <c r="A14" s="22" t="s">
        <v>1177</v>
      </c>
      <c r="B14" s="1" t="s">
        <v>1177</v>
      </c>
      <c r="C14" s="1" t="s">
        <v>37</v>
      </c>
      <c r="D14" s="1" t="s">
        <v>1173</v>
      </c>
      <c r="E14" s="1" t="s">
        <v>38</v>
      </c>
      <c r="F14" s="1" t="s">
        <v>1178</v>
      </c>
      <c r="G14" s="1" t="s">
        <v>479</v>
      </c>
      <c r="H14" s="1" t="s">
        <v>479</v>
      </c>
      <c r="I14" s="7" t="s">
        <v>479</v>
      </c>
      <c r="J14" s="1" t="s">
        <v>479</v>
      </c>
      <c r="K14" s="1" t="s">
        <v>479</v>
      </c>
      <c r="L14" s="1" t="s">
        <v>479</v>
      </c>
      <c r="M14" s="1" t="s">
        <v>479</v>
      </c>
      <c r="N14" s="1" t="s">
        <v>1179</v>
      </c>
      <c r="O14" s="1"/>
      <c r="P14" s="1"/>
      <c r="Q14" s="1"/>
      <c r="R14" s="1" t="s">
        <v>537</v>
      </c>
    </row>
    <row r="15" spans="1:27" ht="16.5" customHeight="1" x14ac:dyDescent="0.2">
      <c r="A15" s="22" t="s">
        <v>1180</v>
      </c>
      <c r="B15" s="1" t="s">
        <v>1180</v>
      </c>
      <c r="C15" s="1"/>
      <c r="D15" s="1" t="s">
        <v>1181</v>
      </c>
      <c r="E15" s="1"/>
      <c r="F15" s="1"/>
      <c r="G15" s="1"/>
      <c r="H15" s="1"/>
      <c r="I15" s="7"/>
      <c r="J15" s="1"/>
      <c r="K15" s="1"/>
      <c r="L15" s="1"/>
      <c r="M15" s="1"/>
      <c r="N15" s="1"/>
      <c r="O15" s="1"/>
      <c r="P15" s="1"/>
      <c r="Q15" s="1" t="s">
        <v>479</v>
      </c>
      <c r="R15" s="1"/>
      <c r="S15" s="6" t="s">
        <v>541</v>
      </c>
      <c r="T15" s="6" t="s">
        <v>542</v>
      </c>
    </row>
    <row r="16" spans="1:27" ht="16.5" customHeight="1" x14ac:dyDescent="0.2">
      <c r="A16" s="22" t="s">
        <v>520</v>
      </c>
      <c r="B16" s="1" t="s">
        <v>520</v>
      </c>
      <c r="C16" s="1" t="s">
        <v>166</v>
      </c>
      <c r="D16" s="1" t="s">
        <v>1182</v>
      </c>
      <c r="E16" s="1" t="s">
        <v>38</v>
      </c>
      <c r="F16" s="1" t="s">
        <v>502</v>
      </c>
      <c r="G16" s="1" t="s">
        <v>484</v>
      </c>
      <c r="H16" s="1" t="s">
        <v>521</v>
      </c>
      <c r="I16" s="8" t="s">
        <v>479</v>
      </c>
      <c r="J16" s="1" t="s">
        <v>479</v>
      </c>
      <c r="K16" s="1" t="s">
        <v>479</v>
      </c>
      <c r="L16" s="1" t="s">
        <v>479</v>
      </c>
      <c r="M16" s="1" t="s">
        <v>479</v>
      </c>
      <c r="N16" s="1" t="s">
        <v>522</v>
      </c>
      <c r="O16" s="1"/>
      <c r="P16" s="1" t="s">
        <v>1183</v>
      </c>
      <c r="Q16" s="1" t="s">
        <v>479</v>
      </c>
      <c r="R16" s="1"/>
      <c r="S16" s="6" t="s">
        <v>545</v>
      </c>
      <c r="T16" s="6" t="s">
        <v>546</v>
      </c>
    </row>
    <row r="17" spans="1:27" ht="16.5" customHeight="1" x14ac:dyDescent="0.2">
      <c r="A17" s="22" t="s">
        <v>524</v>
      </c>
      <c r="B17" s="1" t="s">
        <v>524</v>
      </c>
      <c r="C17" s="1" t="s">
        <v>26</v>
      </c>
      <c r="D17" s="1" t="s">
        <v>1184</v>
      </c>
      <c r="E17" s="1" t="s">
        <v>38</v>
      </c>
      <c r="F17" s="1" t="s">
        <v>525</v>
      </c>
      <c r="G17" s="1" t="s">
        <v>479</v>
      </c>
      <c r="H17" s="1" t="s">
        <v>479</v>
      </c>
      <c r="I17" s="7" t="s">
        <v>479</v>
      </c>
      <c r="J17" s="1" t="s">
        <v>479</v>
      </c>
      <c r="K17" s="1" t="s">
        <v>479</v>
      </c>
      <c r="L17" s="1" t="s">
        <v>479</v>
      </c>
      <c r="M17" s="1" t="s">
        <v>479</v>
      </c>
      <c r="N17" s="1" t="s">
        <v>526</v>
      </c>
      <c r="O17" s="1"/>
      <c r="P17" s="1" t="s">
        <v>1185</v>
      </c>
      <c r="Q17" s="1" t="s">
        <v>479</v>
      </c>
      <c r="R17" s="1"/>
      <c r="T17" s="6" t="s">
        <v>549</v>
      </c>
    </row>
    <row r="18" spans="1:27" ht="16.5" customHeight="1" x14ac:dyDescent="0.2">
      <c r="A18" s="22" t="s">
        <v>529</v>
      </c>
      <c r="B18" s="1" t="s">
        <v>529</v>
      </c>
      <c r="C18" s="1" t="s">
        <v>37</v>
      </c>
      <c r="D18" s="1" t="s">
        <v>1186</v>
      </c>
      <c r="E18" s="1" t="s">
        <v>156</v>
      </c>
      <c r="F18" s="1" t="s">
        <v>530</v>
      </c>
      <c r="G18" s="1" t="s">
        <v>531</v>
      </c>
      <c r="H18" s="1" t="s">
        <v>479</v>
      </c>
      <c r="I18" s="7" t="s">
        <v>479</v>
      </c>
      <c r="J18" s="1" t="s">
        <v>479</v>
      </c>
      <c r="K18" s="1" t="s">
        <v>479</v>
      </c>
      <c r="L18" s="1" t="s">
        <v>479</v>
      </c>
      <c r="M18" s="1" t="s">
        <v>479</v>
      </c>
      <c r="N18" s="1" t="s">
        <v>532</v>
      </c>
      <c r="O18" s="1"/>
      <c r="P18" s="1" t="s">
        <v>1187</v>
      </c>
      <c r="Q18" s="1" t="s">
        <v>552</v>
      </c>
      <c r="R18" s="1"/>
      <c r="S18" s="6" t="s">
        <v>553</v>
      </c>
    </row>
    <row r="19" spans="1:27" ht="16.5" customHeight="1" x14ac:dyDescent="0.2">
      <c r="A19" s="22" t="s">
        <v>534</v>
      </c>
      <c r="B19" s="1" t="s">
        <v>534</v>
      </c>
      <c r="C19" s="1" t="s">
        <v>26</v>
      </c>
      <c r="D19" s="1" t="s">
        <v>1186</v>
      </c>
      <c r="E19" s="1" t="s">
        <v>21</v>
      </c>
      <c r="F19" s="1" t="s">
        <v>535</v>
      </c>
      <c r="G19" s="1" t="s">
        <v>484</v>
      </c>
      <c r="H19" s="1" t="s">
        <v>479</v>
      </c>
      <c r="I19" s="7" t="s">
        <v>479</v>
      </c>
      <c r="J19" s="1" t="s">
        <v>479</v>
      </c>
      <c r="K19" s="1" t="s">
        <v>479</v>
      </c>
      <c r="L19" s="1" t="s">
        <v>479</v>
      </c>
      <c r="M19" s="1" t="s">
        <v>479</v>
      </c>
      <c r="N19" s="1" t="s">
        <v>536</v>
      </c>
      <c r="O19" s="1"/>
      <c r="P19" s="1" t="s">
        <v>1188</v>
      </c>
      <c r="Q19" s="1"/>
      <c r="R19" s="1"/>
    </row>
    <row r="20" spans="1:27" ht="16.5" customHeight="1" x14ac:dyDescent="0.2">
      <c r="A20" s="22" t="s">
        <v>538</v>
      </c>
      <c r="B20" s="1" t="s">
        <v>538</v>
      </c>
      <c r="C20" s="1" t="s">
        <v>26</v>
      </c>
      <c r="D20" s="1" t="s">
        <v>1189</v>
      </c>
      <c r="E20" s="1" t="s">
        <v>21</v>
      </c>
      <c r="F20" s="1" t="s">
        <v>539</v>
      </c>
      <c r="G20" s="1" t="s">
        <v>540</v>
      </c>
      <c r="H20" s="1" t="s">
        <v>479</v>
      </c>
      <c r="I20" s="8" t="s">
        <v>479</v>
      </c>
      <c r="J20" s="1" t="s">
        <v>479</v>
      </c>
      <c r="K20" s="1" t="s">
        <v>479</v>
      </c>
      <c r="L20" s="1" t="s">
        <v>479</v>
      </c>
      <c r="M20" s="1" t="s">
        <v>479</v>
      </c>
      <c r="N20" s="1"/>
      <c r="O20" s="1" t="s">
        <v>1190</v>
      </c>
      <c r="P20" s="1" t="s">
        <v>1191</v>
      </c>
      <c r="Q20" s="1"/>
      <c r="R20" s="1"/>
    </row>
    <row r="21" spans="1:27" ht="16.5" customHeight="1" x14ac:dyDescent="0.2">
      <c r="A21" s="22" t="s">
        <v>543</v>
      </c>
      <c r="B21" s="1" t="s">
        <v>543</v>
      </c>
      <c r="C21" s="1" t="s">
        <v>37</v>
      </c>
      <c r="D21" s="1" t="s">
        <v>1189</v>
      </c>
      <c r="E21" s="1" t="s">
        <v>21</v>
      </c>
      <c r="F21" s="1" t="s">
        <v>544</v>
      </c>
      <c r="G21" s="1" t="s">
        <v>540</v>
      </c>
      <c r="H21" s="1" t="s">
        <v>479</v>
      </c>
      <c r="I21" s="7" t="s">
        <v>479</v>
      </c>
      <c r="J21" s="1" t="s">
        <v>479</v>
      </c>
      <c r="K21" s="1" t="s">
        <v>479</v>
      </c>
      <c r="L21" s="1" t="s">
        <v>479</v>
      </c>
      <c r="M21" s="1" t="s">
        <v>479</v>
      </c>
      <c r="N21" s="1"/>
      <c r="O21" s="1" t="s">
        <v>545</v>
      </c>
      <c r="P21" s="1" t="s">
        <v>1192</v>
      </c>
      <c r="Q21" s="1"/>
      <c r="R21" s="1"/>
    </row>
    <row r="22" spans="1:27" ht="16.5" customHeight="1" x14ac:dyDescent="0.2">
      <c r="A22" s="22" t="s">
        <v>547</v>
      </c>
      <c r="B22" s="1" t="s">
        <v>547</v>
      </c>
      <c r="C22" s="1" t="s">
        <v>166</v>
      </c>
      <c r="D22" s="1" t="s">
        <v>1189</v>
      </c>
      <c r="E22" s="1" t="s">
        <v>156</v>
      </c>
      <c r="F22" s="1" t="s">
        <v>548</v>
      </c>
      <c r="G22" s="1" t="s">
        <v>540</v>
      </c>
      <c r="H22" s="1" t="s">
        <v>479</v>
      </c>
      <c r="I22" s="8" t="s">
        <v>479</v>
      </c>
      <c r="J22" s="1" t="s">
        <v>479</v>
      </c>
      <c r="K22" s="1" t="s">
        <v>479</v>
      </c>
      <c r="L22" s="1" t="s">
        <v>479</v>
      </c>
      <c r="M22" s="1" t="s">
        <v>479</v>
      </c>
      <c r="N22" s="1"/>
      <c r="O22" s="1"/>
      <c r="P22" s="1" t="s">
        <v>1193</v>
      </c>
      <c r="Q22" s="1" t="s">
        <v>570</v>
      </c>
      <c r="R22" s="1"/>
    </row>
    <row r="23" spans="1:27" ht="16.5" customHeight="1" x14ac:dyDescent="0.2">
      <c r="A23" s="22" t="s">
        <v>550</v>
      </c>
      <c r="B23" s="1" t="s">
        <v>550</v>
      </c>
      <c r="C23" s="1" t="s">
        <v>26</v>
      </c>
      <c r="D23" s="1" t="s">
        <v>1194</v>
      </c>
      <c r="E23" s="1" t="s">
        <v>156</v>
      </c>
      <c r="F23" s="1" t="s">
        <v>551</v>
      </c>
      <c r="G23" s="1" t="s">
        <v>479</v>
      </c>
      <c r="H23" s="1" t="s">
        <v>479</v>
      </c>
      <c r="I23" s="8" t="s">
        <v>479</v>
      </c>
      <c r="J23" s="1" t="s">
        <v>479</v>
      </c>
      <c r="K23" s="1" t="s">
        <v>479</v>
      </c>
      <c r="L23" s="1" t="s">
        <v>479</v>
      </c>
      <c r="M23" s="1" t="s">
        <v>479</v>
      </c>
      <c r="N23" s="1" t="s">
        <v>552</v>
      </c>
      <c r="O23" s="1"/>
      <c r="P23" s="1" t="s">
        <v>1195</v>
      </c>
      <c r="Q23" s="1" t="s">
        <v>574</v>
      </c>
      <c r="R23" s="1"/>
    </row>
    <row r="24" spans="1:27" ht="16.5" customHeight="1" x14ac:dyDescent="0.2">
      <c r="A24" s="22" t="s">
        <v>1196</v>
      </c>
      <c r="B24" s="1" t="s">
        <v>1196</v>
      </c>
      <c r="C24" s="1" t="s">
        <v>26</v>
      </c>
      <c r="D24" s="1" t="s">
        <v>1197</v>
      </c>
      <c r="E24" s="1" t="s">
        <v>38</v>
      </c>
      <c r="F24" s="1" t="s">
        <v>1198</v>
      </c>
      <c r="G24" s="1" t="s">
        <v>1199</v>
      </c>
      <c r="H24" s="1" t="s">
        <v>479</v>
      </c>
      <c r="I24" s="7" t="s">
        <v>479</v>
      </c>
      <c r="J24" s="1" t="s">
        <v>479</v>
      </c>
      <c r="K24" s="1" t="s">
        <v>479</v>
      </c>
      <c r="L24" s="1" t="s">
        <v>479</v>
      </c>
      <c r="M24" s="1" t="s">
        <v>479</v>
      </c>
      <c r="N24" s="1" t="s">
        <v>1200</v>
      </c>
      <c r="O24" s="1"/>
      <c r="P24" s="1" t="s">
        <v>1201</v>
      </c>
      <c r="Q24" s="1" t="s">
        <v>579</v>
      </c>
      <c r="R24" s="1"/>
    </row>
    <row r="25" spans="1:27" ht="16.5" customHeight="1" x14ac:dyDescent="0.2">
      <c r="A25" s="22" t="s">
        <v>554</v>
      </c>
      <c r="B25" s="1" t="s">
        <v>554</v>
      </c>
      <c r="C25" s="1" t="s">
        <v>17</v>
      </c>
      <c r="D25" s="1" t="s">
        <v>507</v>
      </c>
      <c r="E25" s="1" t="s">
        <v>284</v>
      </c>
      <c r="F25" s="1" t="s">
        <v>555</v>
      </c>
      <c r="G25" s="1" t="s">
        <v>509</v>
      </c>
      <c r="H25" s="1" t="s">
        <v>556</v>
      </c>
      <c r="I25" s="7" t="s">
        <v>479</v>
      </c>
      <c r="J25" s="1" t="s">
        <v>479</v>
      </c>
      <c r="K25" s="1" t="s">
        <v>479</v>
      </c>
      <c r="L25" s="1" t="s">
        <v>479</v>
      </c>
      <c r="M25" s="1" t="s">
        <v>479</v>
      </c>
      <c r="N25" s="1" t="s">
        <v>557</v>
      </c>
      <c r="O25" s="1"/>
      <c r="P25" s="1" t="s">
        <v>1202</v>
      </c>
      <c r="Q25" s="1" t="s">
        <v>588</v>
      </c>
      <c r="R25" s="1"/>
    </row>
    <row r="26" spans="1:27" ht="16.5" customHeight="1" x14ac:dyDescent="0.2">
      <c r="A26" s="22" t="s">
        <v>558</v>
      </c>
      <c r="B26" s="1" t="s">
        <v>558</v>
      </c>
      <c r="C26" s="1" t="s">
        <v>22</v>
      </c>
      <c r="D26" s="1" t="s">
        <v>507</v>
      </c>
      <c r="E26" s="1" t="s">
        <v>284</v>
      </c>
      <c r="F26" s="1" t="s">
        <v>559</v>
      </c>
      <c r="G26" s="1" t="s">
        <v>514</v>
      </c>
      <c r="H26" s="1" t="s">
        <v>560</v>
      </c>
      <c r="I26" s="8" t="s">
        <v>479</v>
      </c>
      <c r="J26" s="1" t="s">
        <v>479</v>
      </c>
      <c r="K26" s="1" t="s">
        <v>479</v>
      </c>
      <c r="L26" s="1" t="s">
        <v>479</v>
      </c>
      <c r="M26" s="1" t="s">
        <v>479</v>
      </c>
      <c r="N26" s="1" t="s">
        <v>557</v>
      </c>
      <c r="O26" s="1"/>
      <c r="P26" s="1" t="s">
        <v>1203</v>
      </c>
      <c r="Q26" s="1" t="s">
        <v>592</v>
      </c>
      <c r="R26" s="1"/>
    </row>
    <row r="27" spans="1:27" ht="16.5" customHeight="1" x14ac:dyDescent="0.2">
      <c r="A27" s="22" t="s">
        <v>561</v>
      </c>
      <c r="B27" s="1" t="s">
        <v>561</v>
      </c>
      <c r="C27" s="1" t="s">
        <v>26</v>
      </c>
      <c r="D27" s="1" t="s">
        <v>507</v>
      </c>
      <c r="E27" s="1" t="s">
        <v>38</v>
      </c>
      <c r="F27" s="1" t="s">
        <v>562</v>
      </c>
      <c r="G27" s="1" t="s">
        <v>518</v>
      </c>
      <c r="H27" s="1" t="s">
        <v>563</v>
      </c>
      <c r="I27" s="7" t="s">
        <v>479</v>
      </c>
      <c r="J27" s="1" t="s">
        <v>479</v>
      </c>
      <c r="K27" s="1" t="s">
        <v>479</v>
      </c>
      <c r="L27" s="1" t="s">
        <v>479</v>
      </c>
      <c r="M27" s="1" t="s">
        <v>479</v>
      </c>
      <c r="N27" s="1" t="s">
        <v>557</v>
      </c>
      <c r="O27" s="1"/>
      <c r="P27" s="1" t="s">
        <v>1204</v>
      </c>
      <c r="Q27" s="1" t="s">
        <v>596</v>
      </c>
      <c r="R27" s="1"/>
    </row>
    <row r="28" spans="1:27" ht="16.5" customHeight="1" x14ac:dyDescent="0.2">
      <c r="A28" s="22" t="s">
        <v>1205</v>
      </c>
      <c r="B28" s="1" t="s">
        <v>1205</v>
      </c>
      <c r="C28" s="1" t="s">
        <v>37</v>
      </c>
      <c r="D28" s="1" t="s">
        <v>482</v>
      </c>
      <c r="E28" s="1" t="s">
        <v>156</v>
      </c>
      <c r="F28" s="1" t="s">
        <v>1206</v>
      </c>
      <c r="G28" s="1" t="s">
        <v>479</v>
      </c>
      <c r="H28" s="1" t="s">
        <v>479</v>
      </c>
      <c r="I28" s="8" t="s">
        <v>479</v>
      </c>
      <c r="J28" s="1" t="s">
        <v>479</v>
      </c>
      <c r="K28" s="1" t="s">
        <v>479</v>
      </c>
      <c r="L28" s="1" t="s">
        <v>479</v>
      </c>
      <c r="M28" s="1" t="s">
        <v>479</v>
      </c>
      <c r="N28" s="1" t="s">
        <v>1207</v>
      </c>
      <c r="O28" s="1"/>
      <c r="P28" s="1" t="s">
        <v>1208</v>
      </c>
      <c r="Q28" s="1" t="s">
        <v>598</v>
      </c>
      <c r="R28" s="1" t="s">
        <v>479</v>
      </c>
      <c r="S28" s="6" t="s">
        <v>479</v>
      </c>
      <c r="T28" s="6" t="s">
        <v>479</v>
      </c>
      <c r="U28" s="6" t="s">
        <v>479</v>
      </c>
      <c r="V28" s="6" t="s">
        <v>479</v>
      </c>
      <c r="W28" s="6" t="s">
        <v>479</v>
      </c>
      <c r="X28" s="6" t="s">
        <v>479</v>
      </c>
      <c r="AA28" s="6" t="s">
        <v>599</v>
      </c>
    </row>
    <row r="29" spans="1:27" ht="16.5" customHeight="1" x14ac:dyDescent="0.2">
      <c r="A29" s="22" t="s">
        <v>565</v>
      </c>
      <c r="B29" s="1" t="s">
        <v>565</v>
      </c>
      <c r="C29" s="1" t="s">
        <v>17</v>
      </c>
      <c r="D29" s="1" t="s">
        <v>1209</v>
      </c>
      <c r="E29" s="1" t="s">
        <v>284</v>
      </c>
      <c r="F29" s="1" t="s">
        <v>566</v>
      </c>
      <c r="G29" s="1" t="s">
        <v>567</v>
      </c>
      <c r="H29" s="1" t="s">
        <v>568</v>
      </c>
      <c r="I29" s="8" t="s">
        <v>569</v>
      </c>
      <c r="J29" s="1" t="s">
        <v>479</v>
      </c>
      <c r="K29" s="1" t="s">
        <v>479</v>
      </c>
      <c r="L29" s="1" t="s">
        <v>479</v>
      </c>
      <c r="M29" s="1" t="s">
        <v>479</v>
      </c>
      <c r="N29" s="1"/>
      <c r="O29" s="1"/>
      <c r="P29" s="1" t="s">
        <v>1210</v>
      </c>
      <c r="Q29" s="1" t="s">
        <v>601</v>
      </c>
      <c r="R29" s="1" t="s">
        <v>479</v>
      </c>
      <c r="S29" s="6" t="s">
        <v>479</v>
      </c>
      <c r="T29" s="6" t="s">
        <v>479</v>
      </c>
      <c r="U29" s="6" t="s">
        <v>479</v>
      </c>
      <c r="V29" s="6" t="s">
        <v>479</v>
      </c>
      <c r="W29" s="6" t="s">
        <v>479</v>
      </c>
      <c r="X29" s="6" t="s">
        <v>479</v>
      </c>
      <c r="AA29" s="6" t="s">
        <v>602</v>
      </c>
    </row>
    <row r="30" spans="1:27" ht="16.5" customHeight="1" x14ac:dyDescent="0.2">
      <c r="A30" s="22" t="s">
        <v>571</v>
      </c>
      <c r="B30" s="1" t="s">
        <v>571</v>
      </c>
      <c r="C30" s="1" t="s">
        <v>22</v>
      </c>
      <c r="D30" s="1" t="s">
        <v>1209</v>
      </c>
      <c r="E30" s="1" t="s">
        <v>284</v>
      </c>
      <c r="F30" s="1" t="s">
        <v>572</v>
      </c>
      <c r="G30" s="1" t="s">
        <v>573</v>
      </c>
      <c r="H30" s="1" t="s">
        <v>568</v>
      </c>
      <c r="I30" s="7" t="s">
        <v>569</v>
      </c>
      <c r="J30" s="1" t="s">
        <v>479</v>
      </c>
      <c r="K30" s="1" t="s">
        <v>479</v>
      </c>
      <c r="L30" s="1" t="s">
        <v>479</v>
      </c>
      <c r="M30" s="1" t="s">
        <v>479</v>
      </c>
      <c r="N30" s="1"/>
      <c r="O30" s="1" t="s">
        <v>1211</v>
      </c>
      <c r="P30" s="1" t="s">
        <v>1212</v>
      </c>
      <c r="Q30" s="1" t="s">
        <v>604</v>
      </c>
      <c r="R30" s="1" t="s">
        <v>479</v>
      </c>
      <c r="S30" s="6" t="s">
        <v>479</v>
      </c>
      <c r="T30" s="6" t="s">
        <v>479</v>
      </c>
      <c r="U30" s="6" t="s">
        <v>479</v>
      </c>
      <c r="V30" s="6" t="s">
        <v>479</v>
      </c>
      <c r="W30" s="6" t="s">
        <v>479</v>
      </c>
      <c r="X30" s="6" t="s">
        <v>479</v>
      </c>
      <c r="Z30" s="6" t="s">
        <v>605</v>
      </c>
      <c r="AA30" s="6" t="s">
        <v>606</v>
      </c>
    </row>
    <row r="31" spans="1:27" ht="16.5" customHeight="1" x14ac:dyDescent="0.2">
      <c r="A31" s="22" t="s">
        <v>575</v>
      </c>
      <c r="B31" s="1" t="s">
        <v>575</v>
      </c>
      <c r="C31" s="1" t="s">
        <v>26</v>
      </c>
      <c r="D31" s="1" t="s">
        <v>1209</v>
      </c>
      <c r="E31" s="1" t="s">
        <v>38</v>
      </c>
      <c r="F31" s="1" t="s">
        <v>576</v>
      </c>
      <c r="G31" s="1" t="s">
        <v>577</v>
      </c>
      <c r="H31" s="1" t="s">
        <v>578</v>
      </c>
      <c r="I31" s="7" t="s">
        <v>569</v>
      </c>
      <c r="J31" s="1" t="s">
        <v>479</v>
      </c>
      <c r="K31" s="1" t="s">
        <v>479</v>
      </c>
      <c r="L31" s="1" t="s">
        <v>479</v>
      </c>
      <c r="M31" s="1" t="s">
        <v>479</v>
      </c>
      <c r="N31" s="1"/>
      <c r="O31" s="1" t="s">
        <v>1390</v>
      </c>
      <c r="P31" s="1" t="s">
        <v>1213</v>
      </c>
      <c r="Q31" s="1" t="s">
        <v>608</v>
      </c>
      <c r="R31" s="1" t="s">
        <v>609</v>
      </c>
      <c r="S31" s="6" t="s">
        <v>479</v>
      </c>
      <c r="T31" s="6" t="s">
        <v>479</v>
      </c>
      <c r="U31" s="6" t="s">
        <v>479</v>
      </c>
      <c r="V31" s="6" t="s">
        <v>479</v>
      </c>
      <c r="W31" s="6" t="s">
        <v>479</v>
      </c>
      <c r="X31" s="6" t="s">
        <v>479</v>
      </c>
      <c r="Y31" s="6" t="s">
        <v>610</v>
      </c>
      <c r="Z31" s="6" t="s">
        <v>611</v>
      </c>
      <c r="AA31" s="6" t="s">
        <v>612</v>
      </c>
    </row>
    <row r="32" spans="1:27" ht="16.5" customHeight="1" x14ac:dyDescent="0.2">
      <c r="A32" s="22" t="s">
        <v>580</v>
      </c>
      <c r="B32" s="1" t="s">
        <v>580</v>
      </c>
      <c r="C32" s="1" t="s">
        <v>17</v>
      </c>
      <c r="D32" s="1" t="s">
        <v>1209</v>
      </c>
      <c r="E32" s="1" t="s">
        <v>284</v>
      </c>
      <c r="F32" s="1" t="s">
        <v>581</v>
      </c>
      <c r="G32" s="1" t="s">
        <v>582</v>
      </c>
      <c r="H32" s="1" t="s">
        <v>583</v>
      </c>
      <c r="I32" s="8" t="s">
        <v>479</v>
      </c>
      <c r="J32" s="1" t="s">
        <v>584</v>
      </c>
      <c r="K32" s="1" t="s">
        <v>585</v>
      </c>
      <c r="L32" s="1" t="s">
        <v>586</v>
      </c>
      <c r="M32" s="1" t="s">
        <v>587</v>
      </c>
      <c r="N32" s="1"/>
      <c r="O32" s="1"/>
      <c r="P32" s="1" t="s">
        <v>1214</v>
      </c>
      <c r="Q32" s="1"/>
      <c r="R32" s="1" t="s">
        <v>616</v>
      </c>
    </row>
    <row r="33" spans="1:27" ht="16.5" customHeight="1" x14ac:dyDescent="0.2">
      <c r="A33" s="22" t="s">
        <v>589</v>
      </c>
      <c r="B33" s="1" t="s">
        <v>589</v>
      </c>
      <c r="C33" s="1" t="s">
        <v>17</v>
      </c>
      <c r="D33" s="1" t="s">
        <v>1209</v>
      </c>
      <c r="E33" s="1" t="s">
        <v>284</v>
      </c>
      <c r="F33" s="1" t="s">
        <v>590</v>
      </c>
      <c r="G33" s="1" t="s">
        <v>509</v>
      </c>
      <c r="H33" s="1" t="s">
        <v>591</v>
      </c>
      <c r="I33" s="8" t="s">
        <v>479</v>
      </c>
      <c r="J33" s="1" t="s">
        <v>584</v>
      </c>
      <c r="K33" s="1" t="s">
        <v>585</v>
      </c>
      <c r="L33" s="1" t="s">
        <v>586</v>
      </c>
      <c r="M33" s="1" t="s">
        <v>587</v>
      </c>
      <c r="N33" s="1"/>
      <c r="O33" s="1"/>
      <c r="P33" s="1" t="s">
        <v>1215</v>
      </c>
      <c r="Q33" s="1"/>
      <c r="R33" s="1"/>
    </row>
    <row r="34" spans="1:27" ht="16.5" customHeight="1" x14ac:dyDescent="0.2">
      <c r="A34" s="22" t="s">
        <v>593</v>
      </c>
      <c r="B34" s="1" t="s">
        <v>593</v>
      </c>
      <c r="C34" s="1" t="s">
        <v>22</v>
      </c>
      <c r="D34" s="1" t="s">
        <v>1209</v>
      </c>
      <c r="E34" s="1" t="s">
        <v>284</v>
      </c>
      <c r="F34" s="1" t="s">
        <v>594</v>
      </c>
      <c r="G34" s="1" t="s">
        <v>514</v>
      </c>
      <c r="H34" s="1" t="s">
        <v>595</v>
      </c>
      <c r="I34" s="7" t="s">
        <v>479</v>
      </c>
      <c r="J34" s="1" t="s">
        <v>584</v>
      </c>
      <c r="K34" s="1" t="s">
        <v>585</v>
      </c>
      <c r="L34" s="1" t="s">
        <v>586</v>
      </c>
      <c r="M34" s="1" t="s">
        <v>587</v>
      </c>
      <c r="N34" s="1" t="s">
        <v>38</v>
      </c>
      <c r="O34" s="1" t="s">
        <v>1216</v>
      </c>
      <c r="P34" s="1" t="s">
        <v>1217</v>
      </c>
      <c r="Q34" s="1" t="s">
        <v>624</v>
      </c>
      <c r="R34" s="1"/>
    </row>
    <row r="35" spans="1:27" ht="16.5" customHeight="1" x14ac:dyDescent="0.2">
      <c r="A35" s="22" t="s">
        <v>597</v>
      </c>
      <c r="B35" s="1" t="s">
        <v>597</v>
      </c>
      <c r="C35" s="1" t="s">
        <v>17</v>
      </c>
      <c r="D35" s="1" t="s">
        <v>1157</v>
      </c>
      <c r="E35" s="1" t="s">
        <v>248</v>
      </c>
      <c r="F35" s="1" t="s">
        <v>598</v>
      </c>
      <c r="G35" s="1" t="s">
        <v>479</v>
      </c>
      <c r="H35" s="1" t="s">
        <v>479</v>
      </c>
      <c r="I35" s="7" t="s">
        <v>479</v>
      </c>
      <c r="J35" s="1" t="s">
        <v>479</v>
      </c>
      <c r="K35" s="1" t="s">
        <v>479</v>
      </c>
      <c r="L35" s="1" t="s">
        <v>479</v>
      </c>
      <c r="M35" s="1" t="s">
        <v>479</v>
      </c>
      <c r="N35" s="1"/>
      <c r="O35" s="1"/>
      <c r="P35" s="1" t="s">
        <v>1218</v>
      </c>
      <c r="Q35" s="1" t="s">
        <v>628</v>
      </c>
      <c r="R35" s="1"/>
    </row>
    <row r="36" spans="1:27" ht="16.5" customHeight="1" x14ac:dyDescent="0.2">
      <c r="A36" s="22" t="s">
        <v>600</v>
      </c>
      <c r="B36" s="1" t="s">
        <v>600</v>
      </c>
      <c r="C36" s="1" t="s">
        <v>22</v>
      </c>
      <c r="D36" s="1" t="s">
        <v>1157</v>
      </c>
      <c r="E36" s="1" t="s">
        <v>248</v>
      </c>
      <c r="F36" s="1" t="s">
        <v>601</v>
      </c>
      <c r="G36" s="1" t="s">
        <v>479</v>
      </c>
      <c r="H36" s="1" t="s">
        <v>479</v>
      </c>
      <c r="I36" s="7" t="s">
        <v>479</v>
      </c>
      <c r="J36" s="1" t="s">
        <v>479</v>
      </c>
      <c r="K36" s="1" t="s">
        <v>479</v>
      </c>
      <c r="L36" s="1" t="s">
        <v>479</v>
      </c>
      <c r="M36" s="1" t="s">
        <v>479</v>
      </c>
      <c r="N36" s="1"/>
      <c r="O36" s="1"/>
      <c r="P36" s="1" t="s">
        <v>1219</v>
      </c>
      <c r="Q36" s="1" t="s">
        <v>633</v>
      </c>
      <c r="R36" s="1"/>
    </row>
    <row r="37" spans="1:27" ht="16.5" customHeight="1" x14ac:dyDescent="0.2">
      <c r="A37" s="22" t="s">
        <v>603</v>
      </c>
      <c r="B37" s="1" t="s">
        <v>603</v>
      </c>
      <c r="C37" s="1" t="s">
        <v>26</v>
      </c>
      <c r="D37" s="1" t="s">
        <v>1157</v>
      </c>
      <c r="E37" s="1" t="s">
        <v>248</v>
      </c>
      <c r="F37" s="1" t="s">
        <v>604</v>
      </c>
      <c r="G37" s="1" t="s">
        <v>479</v>
      </c>
      <c r="H37" s="1" t="s">
        <v>479</v>
      </c>
      <c r="I37" s="8" t="s">
        <v>479</v>
      </c>
      <c r="J37" s="1" t="s">
        <v>479</v>
      </c>
      <c r="K37" s="1" t="s">
        <v>479</v>
      </c>
      <c r="L37" s="1" t="s">
        <v>479</v>
      </c>
      <c r="M37" s="1" t="s">
        <v>479</v>
      </c>
      <c r="N37" s="1"/>
      <c r="O37" s="1" t="s">
        <v>1391</v>
      </c>
      <c r="P37" s="1" t="s">
        <v>1220</v>
      </c>
      <c r="Q37" s="1" t="s">
        <v>639</v>
      </c>
      <c r="R37" s="1"/>
    </row>
    <row r="38" spans="1:27" ht="16.5" customHeight="1" x14ac:dyDescent="0.2">
      <c r="A38" s="22" t="s">
        <v>607</v>
      </c>
      <c r="B38" s="1" t="s">
        <v>607</v>
      </c>
      <c r="C38" s="1" t="s">
        <v>37</v>
      </c>
      <c r="D38" s="1" t="s">
        <v>1157</v>
      </c>
      <c r="E38" s="1" t="s">
        <v>38</v>
      </c>
      <c r="F38" s="1" t="s">
        <v>608</v>
      </c>
      <c r="G38" s="1" t="s">
        <v>609</v>
      </c>
      <c r="H38" s="1" t="s">
        <v>479</v>
      </c>
      <c r="I38" s="7" t="s">
        <v>479</v>
      </c>
      <c r="J38" s="1" t="s">
        <v>479</v>
      </c>
      <c r="K38" s="1" t="s">
        <v>479</v>
      </c>
      <c r="L38" s="1" t="s">
        <v>479</v>
      </c>
      <c r="M38" s="1" t="s">
        <v>479</v>
      </c>
      <c r="N38" s="1" t="s">
        <v>610</v>
      </c>
      <c r="O38" s="1" t="s">
        <v>611</v>
      </c>
      <c r="P38" s="1" t="s">
        <v>1221</v>
      </c>
      <c r="Q38" s="1" t="s">
        <v>643</v>
      </c>
      <c r="R38" s="1"/>
    </row>
    <row r="39" spans="1:27" ht="16.5" customHeight="1" x14ac:dyDescent="0.2">
      <c r="A39" s="22" t="s">
        <v>613</v>
      </c>
      <c r="B39" s="1" t="s">
        <v>613</v>
      </c>
      <c r="C39" s="1" t="s">
        <v>26</v>
      </c>
      <c r="D39" s="1" t="s">
        <v>1154</v>
      </c>
      <c r="E39" s="1" t="s">
        <v>156</v>
      </c>
      <c r="F39" s="1" t="s">
        <v>614</v>
      </c>
      <c r="G39" s="1" t="s">
        <v>479</v>
      </c>
      <c r="H39" s="1" t="s">
        <v>479</v>
      </c>
      <c r="I39" s="7" t="s">
        <v>479</v>
      </c>
      <c r="J39" s="1" t="s">
        <v>479</v>
      </c>
      <c r="K39" s="1" t="s">
        <v>479</v>
      </c>
      <c r="L39" s="1" t="s">
        <v>479</v>
      </c>
      <c r="M39" s="1" t="s">
        <v>479</v>
      </c>
      <c r="N39" s="1" t="s">
        <v>615</v>
      </c>
      <c r="O39" s="1"/>
      <c r="P39" s="1" t="s">
        <v>1222</v>
      </c>
      <c r="Q39" s="1" t="s">
        <v>647</v>
      </c>
      <c r="R39" s="1"/>
    </row>
    <row r="40" spans="1:27" ht="16.5" customHeight="1" x14ac:dyDescent="0.2">
      <c r="A40" s="22" t="s">
        <v>617</v>
      </c>
      <c r="B40" s="1" t="s">
        <v>617</v>
      </c>
      <c r="C40" s="1" t="s">
        <v>37</v>
      </c>
      <c r="D40" s="1" t="s">
        <v>452</v>
      </c>
      <c r="E40" s="1" t="s">
        <v>156</v>
      </c>
      <c r="F40" s="1" t="s">
        <v>618</v>
      </c>
      <c r="G40" s="1" t="s">
        <v>479</v>
      </c>
      <c r="H40" s="1" t="s">
        <v>479</v>
      </c>
      <c r="I40" s="8" t="s">
        <v>479</v>
      </c>
      <c r="J40" s="1" t="s">
        <v>479</v>
      </c>
      <c r="K40" s="1" t="s">
        <v>479</v>
      </c>
      <c r="L40" s="1" t="s">
        <v>479</v>
      </c>
      <c r="M40" s="1" t="s">
        <v>479</v>
      </c>
      <c r="N40" s="1"/>
      <c r="O40" s="1"/>
      <c r="P40" s="1" t="s">
        <v>1223</v>
      </c>
      <c r="Q40" s="1"/>
      <c r="R40" s="1"/>
    </row>
    <row r="41" spans="1:27" ht="16.5" customHeight="1" x14ac:dyDescent="0.2">
      <c r="A41" s="22" t="s">
        <v>619</v>
      </c>
      <c r="B41" s="1" t="s">
        <v>619</v>
      </c>
      <c r="C41" s="1" t="s">
        <v>22</v>
      </c>
      <c r="D41" s="1" t="s">
        <v>1209</v>
      </c>
      <c r="E41" s="1" t="s">
        <v>284</v>
      </c>
      <c r="F41" s="1" t="s">
        <v>620</v>
      </c>
      <c r="G41" s="1" t="s">
        <v>621</v>
      </c>
      <c r="H41" s="1" t="s">
        <v>622</v>
      </c>
      <c r="I41" s="7" t="s">
        <v>623</v>
      </c>
      <c r="J41" s="1" t="s">
        <v>479</v>
      </c>
      <c r="K41" s="1" t="s">
        <v>479</v>
      </c>
      <c r="L41" s="1" t="s">
        <v>479</v>
      </c>
      <c r="M41" s="1" t="s">
        <v>479</v>
      </c>
      <c r="N41" s="1"/>
      <c r="O41" s="1" t="s">
        <v>1392</v>
      </c>
      <c r="P41" s="1" t="s">
        <v>1224</v>
      </c>
      <c r="Q41" s="1" t="s">
        <v>652</v>
      </c>
      <c r="R41" s="1" t="s">
        <v>653</v>
      </c>
      <c r="S41" s="6" t="s">
        <v>479</v>
      </c>
      <c r="T41" s="6" t="s">
        <v>479</v>
      </c>
      <c r="U41" s="6" t="s">
        <v>479</v>
      </c>
      <c r="V41" s="6" t="s">
        <v>479</v>
      </c>
      <c r="W41" s="6" t="s">
        <v>479</v>
      </c>
      <c r="X41" s="6" t="s">
        <v>479</v>
      </c>
      <c r="AA41" s="6" t="s">
        <v>654</v>
      </c>
    </row>
    <row r="42" spans="1:27" ht="16.5" customHeight="1" x14ac:dyDescent="0.2">
      <c r="A42" s="22" t="s">
        <v>625</v>
      </c>
      <c r="B42" s="1" t="s">
        <v>625</v>
      </c>
      <c r="C42" s="1" t="s">
        <v>26</v>
      </c>
      <c r="D42" s="1" t="s">
        <v>1209</v>
      </c>
      <c r="E42" s="1" t="s">
        <v>38</v>
      </c>
      <c r="F42" s="1" t="s">
        <v>488</v>
      </c>
      <c r="G42" s="1" t="s">
        <v>626</v>
      </c>
      <c r="H42" s="1" t="s">
        <v>627</v>
      </c>
      <c r="I42" s="7" t="s">
        <v>623</v>
      </c>
      <c r="J42" s="1" t="s">
        <v>479</v>
      </c>
      <c r="K42" s="1" t="s">
        <v>479</v>
      </c>
      <c r="L42" s="1" t="s">
        <v>479</v>
      </c>
      <c r="M42" s="1" t="s">
        <v>479</v>
      </c>
      <c r="N42" s="1"/>
      <c r="O42" s="1" t="s">
        <v>1393</v>
      </c>
      <c r="P42" s="1" t="s">
        <v>1225</v>
      </c>
      <c r="Q42" s="1" t="s">
        <v>656</v>
      </c>
      <c r="R42" s="1" t="s">
        <v>657</v>
      </c>
      <c r="S42" s="6" t="s">
        <v>479</v>
      </c>
      <c r="T42" s="6" t="s">
        <v>479</v>
      </c>
      <c r="U42" s="6" t="s">
        <v>479</v>
      </c>
      <c r="V42" s="6" t="s">
        <v>479</v>
      </c>
      <c r="W42" s="6" t="s">
        <v>479</v>
      </c>
      <c r="X42" s="6" t="s">
        <v>479</v>
      </c>
      <c r="AA42" s="6" t="s">
        <v>658</v>
      </c>
    </row>
    <row r="43" spans="1:27" ht="16.5" customHeight="1" x14ac:dyDescent="0.2">
      <c r="A43" s="22" t="s">
        <v>629</v>
      </c>
      <c r="B43" s="1" t="s">
        <v>629</v>
      </c>
      <c r="C43" s="1" t="s">
        <v>37</v>
      </c>
      <c r="D43" s="1" t="s">
        <v>1209</v>
      </c>
      <c r="E43" s="1" t="s">
        <v>38</v>
      </c>
      <c r="F43" s="1" t="s">
        <v>630</v>
      </c>
      <c r="G43" s="1" t="s">
        <v>631</v>
      </c>
      <c r="H43" s="1" t="s">
        <v>632</v>
      </c>
      <c r="I43" s="7" t="s">
        <v>623</v>
      </c>
      <c r="J43" s="1" t="s">
        <v>479</v>
      </c>
      <c r="K43" s="1" t="s">
        <v>479</v>
      </c>
      <c r="L43" s="1" t="s">
        <v>479</v>
      </c>
      <c r="M43" s="1" t="s">
        <v>479</v>
      </c>
      <c r="N43" s="1"/>
      <c r="O43" s="1" t="s">
        <v>1012</v>
      </c>
      <c r="P43" s="1" t="s">
        <v>1226</v>
      </c>
      <c r="Q43" s="1" t="s">
        <v>660</v>
      </c>
      <c r="R43" s="1" t="s">
        <v>661</v>
      </c>
      <c r="S43" s="6" t="s">
        <v>479</v>
      </c>
      <c r="T43" s="6" t="s">
        <v>479</v>
      </c>
      <c r="U43" s="6" t="s">
        <v>479</v>
      </c>
      <c r="V43" s="6" t="s">
        <v>479</v>
      </c>
      <c r="W43" s="6" t="s">
        <v>479</v>
      </c>
      <c r="X43" s="6" t="s">
        <v>479</v>
      </c>
      <c r="Z43" s="6" t="s">
        <v>662</v>
      </c>
      <c r="AA43" s="6" t="s">
        <v>663</v>
      </c>
    </row>
    <row r="44" spans="1:27" ht="16.5" customHeight="1" x14ac:dyDescent="0.2">
      <c r="A44" s="22" t="s">
        <v>634</v>
      </c>
      <c r="B44" s="1" t="s">
        <v>634</v>
      </c>
      <c r="C44" s="1" t="s">
        <v>17</v>
      </c>
      <c r="D44" s="1" t="s">
        <v>1209</v>
      </c>
      <c r="E44" s="1" t="s">
        <v>284</v>
      </c>
      <c r="F44" s="1" t="s">
        <v>635</v>
      </c>
      <c r="G44" s="1" t="s">
        <v>509</v>
      </c>
      <c r="H44" s="1" t="s">
        <v>636</v>
      </c>
      <c r="I44" s="8" t="s">
        <v>479</v>
      </c>
      <c r="J44" s="1" t="s">
        <v>584</v>
      </c>
      <c r="K44" s="1" t="s">
        <v>637</v>
      </c>
      <c r="L44" s="1" t="s">
        <v>638</v>
      </c>
      <c r="M44" s="1" t="s">
        <v>587</v>
      </c>
      <c r="N44" s="1"/>
      <c r="O44" s="1"/>
      <c r="P44" s="1" t="s">
        <v>1227</v>
      </c>
      <c r="Q44" s="1" t="s">
        <v>665</v>
      </c>
      <c r="R44" s="1" t="s">
        <v>666</v>
      </c>
      <c r="S44" s="6" t="s">
        <v>479</v>
      </c>
      <c r="T44" s="6" t="s">
        <v>479</v>
      </c>
      <c r="U44" s="6" t="s">
        <v>479</v>
      </c>
      <c r="V44" s="6" t="s">
        <v>479</v>
      </c>
      <c r="W44" s="6" t="s">
        <v>479</v>
      </c>
      <c r="X44" s="6" t="s">
        <v>479</v>
      </c>
      <c r="Y44" s="6" t="s">
        <v>667</v>
      </c>
      <c r="AA44" s="6" t="s">
        <v>668</v>
      </c>
    </row>
    <row r="45" spans="1:27" ht="16.5" customHeight="1" x14ac:dyDescent="0.2">
      <c r="A45" s="22" t="s">
        <v>640</v>
      </c>
      <c r="B45" s="1" t="s">
        <v>640</v>
      </c>
      <c r="C45" s="1" t="s">
        <v>22</v>
      </c>
      <c r="D45" s="1" t="s">
        <v>1209</v>
      </c>
      <c r="E45" s="1" t="s">
        <v>284</v>
      </c>
      <c r="F45" s="1" t="s">
        <v>641</v>
      </c>
      <c r="G45" s="1" t="s">
        <v>514</v>
      </c>
      <c r="H45" s="1" t="s">
        <v>642</v>
      </c>
      <c r="I45" s="7" t="s">
        <v>479</v>
      </c>
      <c r="J45" s="1" t="s">
        <v>584</v>
      </c>
      <c r="K45" s="1" t="s">
        <v>637</v>
      </c>
      <c r="L45" s="1" t="s">
        <v>638</v>
      </c>
      <c r="M45" s="1" t="s">
        <v>587</v>
      </c>
      <c r="N45" s="1"/>
      <c r="O45" s="1" t="s">
        <v>1394</v>
      </c>
      <c r="P45" s="1" t="s">
        <v>1228</v>
      </c>
      <c r="Q45" s="1" t="s">
        <v>660</v>
      </c>
      <c r="R45" s="1" t="s">
        <v>661</v>
      </c>
      <c r="S45" s="6" t="s">
        <v>479</v>
      </c>
      <c r="T45" s="6" t="s">
        <v>479</v>
      </c>
      <c r="U45" s="6" t="s">
        <v>479</v>
      </c>
      <c r="V45" s="6" t="s">
        <v>479</v>
      </c>
      <c r="W45" s="6" t="s">
        <v>479</v>
      </c>
      <c r="X45" s="6" t="s">
        <v>479</v>
      </c>
      <c r="Y45" s="6" t="s">
        <v>670</v>
      </c>
      <c r="AA45" s="6" t="s">
        <v>671</v>
      </c>
    </row>
    <row r="46" spans="1:27" ht="16.5" customHeight="1" x14ac:dyDescent="0.2">
      <c r="A46" s="22" t="s">
        <v>644</v>
      </c>
      <c r="B46" s="1" t="s">
        <v>644</v>
      </c>
      <c r="C46" s="1" t="s">
        <v>26</v>
      </c>
      <c r="D46" s="1" t="s">
        <v>1209</v>
      </c>
      <c r="E46" s="1" t="s">
        <v>38</v>
      </c>
      <c r="F46" s="1" t="s">
        <v>645</v>
      </c>
      <c r="G46" s="1" t="s">
        <v>518</v>
      </c>
      <c r="H46" s="1" t="s">
        <v>646</v>
      </c>
      <c r="I46" s="8" t="s">
        <v>479</v>
      </c>
      <c r="J46" s="1" t="s">
        <v>584</v>
      </c>
      <c r="K46" s="1" t="s">
        <v>637</v>
      </c>
      <c r="L46" s="1" t="s">
        <v>638</v>
      </c>
      <c r="M46" s="1" t="s">
        <v>587</v>
      </c>
      <c r="N46" s="1"/>
      <c r="O46" s="1" t="s">
        <v>1395</v>
      </c>
      <c r="P46" s="1" t="s">
        <v>1229</v>
      </c>
      <c r="Q46" s="1" t="s">
        <v>674</v>
      </c>
      <c r="R46" s="1" t="s">
        <v>479</v>
      </c>
      <c r="S46" s="6" t="s">
        <v>479</v>
      </c>
      <c r="T46" s="6" t="s">
        <v>479</v>
      </c>
      <c r="U46" s="6" t="s">
        <v>479</v>
      </c>
      <c r="V46" s="6" t="s">
        <v>479</v>
      </c>
      <c r="W46" s="6" t="s">
        <v>479</v>
      </c>
      <c r="X46" s="6" t="s">
        <v>479</v>
      </c>
      <c r="Y46" s="6" t="s">
        <v>675</v>
      </c>
      <c r="Z46" s="6" t="s">
        <v>676</v>
      </c>
      <c r="AA46" s="6" t="s">
        <v>677</v>
      </c>
    </row>
    <row r="47" spans="1:27" ht="16.5" customHeight="1" x14ac:dyDescent="0.2">
      <c r="A47" s="22" t="s">
        <v>648</v>
      </c>
      <c r="B47" s="1" t="s">
        <v>648</v>
      </c>
      <c r="C47" s="1" t="s">
        <v>37</v>
      </c>
      <c r="D47" s="1" t="s">
        <v>452</v>
      </c>
      <c r="E47" s="1" t="s">
        <v>156</v>
      </c>
      <c r="F47" s="1" t="s">
        <v>649</v>
      </c>
      <c r="G47" s="1" t="s">
        <v>479</v>
      </c>
      <c r="H47" s="1" t="s">
        <v>479</v>
      </c>
      <c r="I47" s="8" t="s">
        <v>479</v>
      </c>
      <c r="J47" s="1" t="s">
        <v>479</v>
      </c>
      <c r="K47" s="1" t="s">
        <v>479</v>
      </c>
      <c r="L47" s="1" t="s">
        <v>479</v>
      </c>
      <c r="M47" s="1" t="s">
        <v>479</v>
      </c>
      <c r="N47" s="1" t="s">
        <v>650</v>
      </c>
      <c r="O47" s="1"/>
      <c r="P47" s="1" t="s">
        <v>1230</v>
      </c>
      <c r="Q47" s="1" t="s">
        <v>679</v>
      </c>
      <c r="R47" s="1" t="s">
        <v>680</v>
      </c>
      <c r="S47" s="6" t="s">
        <v>479</v>
      </c>
      <c r="T47" s="6" t="s">
        <v>479</v>
      </c>
      <c r="U47" s="6" t="s">
        <v>479</v>
      </c>
      <c r="V47" s="6" t="s">
        <v>479</v>
      </c>
      <c r="W47" s="6" t="s">
        <v>479</v>
      </c>
      <c r="X47" s="6" t="s">
        <v>479</v>
      </c>
      <c r="AA47" s="6" t="s">
        <v>681</v>
      </c>
    </row>
    <row r="48" spans="1:27" ht="16.5" customHeight="1" x14ac:dyDescent="0.2">
      <c r="A48" s="22" t="s">
        <v>651</v>
      </c>
      <c r="B48" s="1" t="s">
        <v>651</v>
      </c>
      <c r="C48" s="1" t="s">
        <v>17</v>
      </c>
      <c r="D48" s="1" t="s">
        <v>1157</v>
      </c>
      <c r="E48" s="1" t="s">
        <v>248</v>
      </c>
      <c r="F48" s="1" t="s">
        <v>652</v>
      </c>
      <c r="G48" s="1" t="s">
        <v>653</v>
      </c>
      <c r="H48" s="1" t="s">
        <v>479</v>
      </c>
      <c r="I48" s="7" t="s">
        <v>479</v>
      </c>
      <c r="J48" s="1" t="s">
        <v>479</v>
      </c>
      <c r="K48" s="1" t="s">
        <v>479</v>
      </c>
      <c r="L48" s="1" t="s">
        <v>479</v>
      </c>
      <c r="M48" s="1" t="s">
        <v>479</v>
      </c>
      <c r="N48" s="1"/>
      <c r="O48" s="1"/>
      <c r="P48" s="1" t="s">
        <v>1231</v>
      </c>
      <c r="Q48" s="1" t="s">
        <v>683</v>
      </c>
      <c r="R48" s="1" t="s">
        <v>684</v>
      </c>
      <c r="S48" s="6" t="s">
        <v>479</v>
      </c>
      <c r="T48" s="6" t="s">
        <v>479</v>
      </c>
      <c r="U48" s="6" t="s">
        <v>479</v>
      </c>
      <c r="V48" s="6" t="s">
        <v>479</v>
      </c>
      <c r="W48" s="6" t="s">
        <v>479</v>
      </c>
      <c r="X48" s="6" t="s">
        <v>479</v>
      </c>
      <c r="AA48" s="6" t="s">
        <v>685</v>
      </c>
    </row>
    <row r="49" spans="1:27" ht="16.5" customHeight="1" x14ac:dyDescent="0.2">
      <c r="A49" s="22" t="s">
        <v>655</v>
      </c>
      <c r="B49" s="1" t="s">
        <v>655</v>
      </c>
      <c r="C49" s="1" t="s">
        <v>22</v>
      </c>
      <c r="D49" s="1" t="s">
        <v>1157</v>
      </c>
      <c r="E49" s="1" t="s">
        <v>248</v>
      </c>
      <c r="F49" s="1" t="s">
        <v>656</v>
      </c>
      <c r="G49" s="1" t="s">
        <v>657</v>
      </c>
      <c r="H49" s="1" t="s">
        <v>479</v>
      </c>
      <c r="I49" s="7" t="s">
        <v>479</v>
      </c>
      <c r="J49" s="1" t="s">
        <v>479</v>
      </c>
      <c r="K49" s="1" t="s">
        <v>479</v>
      </c>
      <c r="L49" s="1" t="s">
        <v>479</v>
      </c>
      <c r="M49" s="1" t="s">
        <v>479</v>
      </c>
      <c r="N49" s="1"/>
      <c r="O49" s="1"/>
      <c r="P49" s="1" t="s">
        <v>1232</v>
      </c>
      <c r="Q49" s="1" t="s">
        <v>687</v>
      </c>
      <c r="R49" s="1" t="s">
        <v>688</v>
      </c>
      <c r="S49" s="6" t="s">
        <v>479</v>
      </c>
      <c r="T49" s="6" t="s">
        <v>479</v>
      </c>
      <c r="U49" s="6" t="s">
        <v>479</v>
      </c>
      <c r="V49" s="6" t="s">
        <v>479</v>
      </c>
      <c r="W49" s="6" t="s">
        <v>479</v>
      </c>
      <c r="X49" s="6" t="s">
        <v>479</v>
      </c>
      <c r="Z49" s="6">
        <v>43498</v>
      </c>
      <c r="AA49" s="6" t="s">
        <v>689</v>
      </c>
    </row>
    <row r="50" spans="1:27" ht="16.5" customHeight="1" x14ac:dyDescent="0.2">
      <c r="A50" s="22" t="s">
        <v>659</v>
      </c>
      <c r="B50" s="1" t="s">
        <v>659</v>
      </c>
      <c r="C50" s="1" t="s">
        <v>26</v>
      </c>
      <c r="D50" s="1" t="s">
        <v>1157</v>
      </c>
      <c r="E50" s="1" t="s">
        <v>248</v>
      </c>
      <c r="F50" s="1" t="s">
        <v>660</v>
      </c>
      <c r="G50" s="1" t="s">
        <v>661</v>
      </c>
      <c r="H50" s="1" t="s">
        <v>479</v>
      </c>
      <c r="I50" s="8" t="s">
        <v>479</v>
      </c>
      <c r="J50" s="1" t="s">
        <v>479</v>
      </c>
      <c r="K50" s="1" t="s">
        <v>479</v>
      </c>
      <c r="L50" s="1" t="s">
        <v>479</v>
      </c>
      <c r="M50" s="1" t="s">
        <v>479</v>
      </c>
      <c r="N50" s="1"/>
      <c r="O50" s="1" t="s">
        <v>1396</v>
      </c>
      <c r="P50" s="1" t="s">
        <v>1233</v>
      </c>
      <c r="Q50" s="1"/>
      <c r="R50" s="1" t="s">
        <v>693</v>
      </c>
    </row>
    <row r="51" spans="1:27" ht="16.5" customHeight="1" x14ac:dyDescent="0.2">
      <c r="A51" s="22" t="s">
        <v>664</v>
      </c>
      <c r="B51" s="1" t="s">
        <v>664</v>
      </c>
      <c r="C51" s="1" t="s">
        <v>37</v>
      </c>
      <c r="D51" s="1" t="s">
        <v>1157</v>
      </c>
      <c r="E51" s="1" t="s">
        <v>38</v>
      </c>
      <c r="F51" s="1" t="s">
        <v>665</v>
      </c>
      <c r="G51" s="1" t="s">
        <v>666</v>
      </c>
      <c r="H51" s="1" t="s">
        <v>479</v>
      </c>
      <c r="I51" s="7" t="s">
        <v>479</v>
      </c>
      <c r="J51" s="1" t="s">
        <v>479</v>
      </c>
      <c r="K51" s="1" t="s">
        <v>479</v>
      </c>
      <c r="L51" s="1" t="s">
        <v>479</v>
      </c>
      <c r="M51" s="1" t="s">
        <v>479</v>
      </c>
      <c r="N51" s="1" t="s">
        <v>667</v>
      </c>
      <c r="O51" s="1"/>
      <c r="P51" s="1" t="s">
        <v>1234</v>
      </c>
      <c r="Q51" s="2" t="s">
        <v>696</v>
      </c>
      <c r="R51" s="1" t="s">
        <v>697</v>
      </c>
    </row>
    <row r="52" spans="1:27" ht="16.5" customHeight="1" x14ac:dyDescent="0.2">
      <c r="A52" s="22" t="s">
        <v>669</v>
      </c>
      <c r="B52" s="1" t="s">
        <v>669</v>
      </c>
      <c r="C52" s="1" t="s">
        <v>37</v>
      </c>
      <c r="D52" s="1" t="s">
        <v>1157</v>
      </c>
      <c r="E52" s="1" t="s">
        <v>38</v>
      </c>
      <c r="F52" s="1" t="s">
        <v>660</v>
      </c>
      <c r="G52" s="1" t="s">
        <v>661</v>
      </c>
      <c r="H52" s="1" t="s">
        <v>479</v>
      </c>
      <c r="I52" s="7" t="s">
        <v>479</v>
      </c>
      <c r="J52" s="1" t="s">
        <v>479</v>
      </c>
      <c r="K52" s="1" t="s">
        <v>479</v>
      </c>
      <c r="L52" s="1" t="s">
        <v>479</v>
      </c>
      <c r="M52" s="1" t="s">
        <v>479</v>
      </c>
      <c r="N52" s="1" t="s">
        <v>670</v>
      </c>
      <c r="O52" s="1"/>
      <c r="P52" s="1" t="s">
        <v>1235</v>
      </c>
      <c r="Q52" s="1" t="s">
        <v>700</v>
      </c>
      <c r="R52" s="1" t="s">
        <v>701</v>
      </c>
    </row>
    <row r="53" spans="1:27" ht="16.5" customHeight="1" x14ac:dyDescent="0.2">
      <c r="A53" s="22" t="s">
        <v>1236</v>
      </c>
      <c r="B53" s="1" t="s">
        <v>1236</v>
      </c>
      <c r="C53" s="1" t="s">
        <v>26</v>
      </c>
      <c r="D53" s="1" t="s">
        <v>1197</v>
      </c>
      <c r="E53" s="1" t="s">
        <v>38</v>
      </c>
      <c r="F53" s="1" t="s">
        <v>1237</v>
      </c>
      <c r="G53" s="1" t="s">
        <v>1238</v>
      </c>
      <c r="H53" s="1" t="s">
        <v>479</v>
      </c>
      <c r="I53" s="7" t="s">
        <v>479</v>
      </c>
      <c r="J53" s="1" t="s">
        <v>479</v>
      </c>
      <c r="K53" s="1" t="s">
        <v>479</v>
      </c>
      <c r="L53" s="1" t="s">
        <v>479</v>
      </c>
      <c r="M53" s="1" t="s">
        <v>479</v>
      </c>
      <c r="N53" s="1" t="s">
        <v>1239</v>
      </c>
      <c r="O53" s="1"/>
      <c r="P53" s="1" t="s">
        <v>1240</v>
      </c>
      <c r="Q53" s="1" t="s">
        <v>679</v>
      </c>
      <c r="R53" s="1" t="s">
        <v>680</v>
      </c>
      <c r="S53" s="6" t="s">
        <v>479</v>
      </c>
      <c r="T53" s="6" t="s">
        <v>479</v>
      </c>
      <c r="U53" s="6" t="s">
        <v>479</v>
      </c>
      <c r="V53" s="6" t="s">
        <v>479</v>
      </c>
      <c r="W53" s="6" t="s">
        <v>479</v>
      </c>
      <c r="X53" s="6" t="s">
        <v>479</v>
      </c>
      <c r="AA53" s="6" t="s">
        <v>703</v>
      </c>
    </row>
    <row r="54" spans="1:27" ht="16.5" customHeight="1" x14ac:dyDescent="0.2">
      <c r="A54" s="22" t="s">
        <v>672</v>
      </c>
      <c r="B54" s="1" t="s">
        <v>672</v>
      </c>
      <c r="C54" s="6" t="s">
        <v>37</v>
      </c>
      <c r="D54" s="1" t="s">
        <v>1241</v>
      </c>
      <c r="E54" s="1" t="s">
        <v>38</v>
      </c>
      <c r="F54" s="1" t="s">
        <v>674</v>
      </c>
      <c r="G54" s="1" t="s">
        <v>479</v>
      </c>
      <c r="H54" s="1" t="s">
        <v>479</v>
      </c>
      <c r="I54" s="8" t="s">
        <v>479</v>
      </c>
      <c r="J54" s="1" t="s">
        <v>479</v>
      </c>
      <c r="K54" s="1" t="s">
        <v>479</v>
      </c>
      <c r="L54" s="1" t="s">
        <v>479</v>
      </c>
      <c r="M54" s="1" t="s">
        <v>479</v>
      </c>
      <c r="N54" s="1" t="s">
        <v>675</v>
      </c>
      <c r="O54" s="1"/>
      <c r="P54" s="1" t="s">
        <v>1242</v>
      </c>
      <c r="Q54" s="1" t="s">
        <v>683</v>
      </c>
      <c r="R54" s="1" t="s">
        <v>684</v>
      </c>
      <c r="S54" s="6" t="s">
        <v>479</v>
      </c>
      <c r="T54" s="6" t="s">
        <v>479</v>
      </c>
      <c r="U54" s="6" t="s">
        <v>479</v>
      </c>
      <c r="V54" s="6" t="s">
        <v>479</v>
      </c>
      <c r="W54" s="6" t="s">
        <v>479</v>
      </c>
      <c r="X54" s="6" t="s">
        <v>479</v>
      </c>
      <c r="AA54" s="6" t="s">
        <v>705</v>
      </c>
    </row>
    <row r="55" spans="1:27" ht="16.5" customHeight="1" x14ac:dyDescent="0.2">
      <c r="A55" s="22" t="s">
        <v>678</v>
      </c>
      <c r="B55" s="1" t="s">
        <v>678</v>
      </c>
      <c r="C55" s="6" t="s">
        <v>17</v>
      </c>
      <c r="D55" s="1" t="s">
        <v>1157</v>
      </c>
      <c r="E55" s="1" t="s">
        <v>248</v>
      </c>
      <c r="F55" s="1" t="s">
        <v>679</v>
      </c>
      <c r="G55" s="1" t="s">
        <v>680</v>
      </c>
      <c r="H55" s="1" t="s">
        <v>479</v>
      </c>
      <c r="I55" s="7" t="s">
        <v>479</v>
      </c>
      <c r="J55" s="1" t="s">
        <v>479</v>
      </c>
      <c r="K55" s="1" t="s">
        <v>479</v>
      </c>
      <c r="L55" s="1" t="s">
        <v>479</v>
      </c>
      <c r="M55" s="1" t="s">
        <v>479</v>
      </c>
      <c r="N55" s="1"/>
      <c r="O55" s="1"/>
      <c r="P55" s="1" t="s">
        <v>1243</v>
      </c>
      <c r="Q55" s="1" t="s">
        <v>687</v>
      </c>
      <c r="R55" s="1" t="s">
        <v>688</v>
      </c>
      <c r="S55" s="6" t="s">
        <v>479</v>
      </c>
      <c r="T55" s="6" t="s">
        <v>479</v>
      </c>
      <c r="U55" s="6" t="s">
        <v>479</v>
      </c>
      <c r="V55" s="6" t="s">
        <v>479</v>
      </c>
      <c r="W55" s="6" t="s">
        <v>479</v>
      </c>
      <c r="X55" s="6" t="s">
        <v>479</v>
      </c>
      <c r="Z55" s="6" t="s">
        <v>707</v>
      </c>
      <c r="AA55" s="6" t="s">
        <v>708</v>
      </c>
    </row>
    <row r="56" spans="1:27" ht="16.5" customHeight="1" x14ac:dyDescent="0.2">
      <c r="A56" s="22" t="s">
        <v>682</v>
      </c>
      <c r="B56" s="1" t="s">
        <v>682</v>
      </c>
      <c r="C56" s="6" t="s">
        <v>17</v>
      </c>
      <c r="D56" s="1" t="s">
        <v>1157</v>
      </c>
      <c r="E56" s="1" t="s">
        <v>248</v>
      </c>
      <c r="F56" s="1" t="s">
        <v>683</v>
      </c>
      <c r="G56" s="1" t="s">
        <v>684</v>
      </c>
      <c r="H56" s="1" t="s">
        <v>479</v>
      </c>
      <c r="I56" s="7" t="s">
        <v>479</v>
      </c>
      <c r="J56" s="1" t="s">
        <v>479</v>
      </c>
      <c r="K56" s="1" t="s">
        <v>479</v>
      </c>
      <c r="L56" s="1" t="s">
        <v>479</v>
      </c>
      <c r="M56" s="1" t="s">
        <v>479</v>
      </c>
      <c r="N56" s="1"/>
      <c r="O56" s="1"/>
      <c r="P56" s="1" t="s">
        <v>1244</v>
      </c>
      <c r="Q56" s="1" t="s">
        <v>479</v>
      </c>
      <c r="R56" s="1" t="s">
        <v>479</v>
      </c>
      <c r="U56" s="6" t="s">
        <v>712</v>
      </c>
    </row>
    <row r="57" spans="1:27" ht="16.5" customHeight="1" x14ac:dyDescent="0.2">
      <c r="A57" s="22" t="s">
        <v>686</v>
      </c>
      <c r="B57" s="1" t="s">
        <v>686</v>
      </c>
      <c r="C57" s="6" t="s">
        <v>22</v>
      </c>
      <c r="D57" s="1" t="s">
        <v>1157</v>
      </c>
      <c r="E57" s="1" t="s">
        <v>248</v>
      </c>
      <c r="F57" s="1" t="s">
        <v>687</v>
      </c>
      <c r="G57" s="1" t="s">
        <v>688</v>
      </c>
      <c r="H57" s="1" t="s">
        <v>479</v>
      </c>
      <c r="I57" s="8" t="s">
        <v>479</v>
      </c>
      <c r="J57" s="1" t="s">
        <v>479</v>
      </c>
      <c r="K57" s="1" t="s">
        <v>479</v>
      </c>
      <c r="L57" s="1" t="s">
        <v>479</v>
      </c>
      <c r="M57" s="1" t="s">
        <v>479</v>
      </c>
      <c r="N57" s="1"/>
      <c r="O57" s="1" t="s">
        <v>1397</v>
      </c>
      <c r="P57" s="1" t="s">
        <v>1245</v>
      </c>
      <c r="Q57" s="1" t="s">
        <v>479</v>
      </c>
      <c r="R57" s="1" t="s">
        <v>479</v>
      </c>
      <c r="U57" s="6" t="s">
        <v>715</v>
      </c>
    </row>
    <row r="58" spans="1:27" ht="16.5" customHeight="1" x14ac:dyDescent="0.2">
      <c r="A58" s="22" t="s">
        <v>1246</v>
      </c>
      <c r="B58" s="1" t="s">
        <v>1246</v>
      </c>
      <c r="C58" s="6" t="s">
        <v>26</v>
      </c>
      <c r="D58" s="1" t="s">
        <v>1157</v>
      </c>
      <c r="E58" s="1" t="s">
        <v>156</v>
      </c>
      <c r="F58" s="1" t="s">
        <v>1247</v>
      </c>
      <c r="G58" s="1" t="s">
        <v>1248</v>
      </c>
      <c r="H58" s="1" t="s">
        <v>479</v>
      </c>
      <c r="I58" s="7" t="s">
        <v>479</v>
      </c>
      <c r="J58" s="1" t="s">
        <v>479</v>
      </c>
      <c r="K58" s="1" t="s">
        <v>479</v>
      </c>
      <c r="L58" s="1" t="s">
        <v>479</v>
      </c>
      <c r="M58" s="1" t="s">
        <v>479</v>
      </c>
      <c r="N58" s="1"/>
      <c r="O58" s="1"/>
      <c r="P58" s="1" t="s">
        <v>1249</v>
      </c>
      <c r="Q58" s="1" t="s">
        <v>479</v>
      </c>
      <c r="R58" s="1" t="s">
        <v>479</v>
      </c>
      <c r="T58" s="6" t="s">
        <v>718</v>
      </c>
      <c r="U58" s="6" t="s">
        <v>719</v>
      </c>
    </row>
    <row r="59" spans="1:27" ht="16.5" customHeight="1" x14ac:dyDescent="0.2">
      <c r="A59" s="22" t="s">
        <v>690</v>
      </c>
      <c r="B59" s="1" t="s">
        <v>690</v>
      </c>
      <c r="C59" s="6" t="s">
        <v>22</v>
      </c>
      <c r="D59" s="1" t="s">
        <v>1154</v>
      </c>
      <c r="E59" s="1" t="s">
        <v>248</v>
      </c>
      <c r="F59" s="1" t="s">
        <v>691</v>
      </c>
      <c r="G59" s="1" t="s">
        <v>692</v>
      </c>
      <c r="H59" s="1" t="s">
        <v>479</v>
      </c>
      <c r="I59" s="8" t="s">
        <v>479</v>
      </c>
      <c r="J59" s="1" t="s">
        <v>479</v>
      </c>
      <c r="K59" s="1" t="s">
        <v>479</v>
      </c>
      <c r="L59" s="1" t="s">
        <v>479</v>
      </c>
      <c r="M59" s="1" t="s">
        <v>479</v>
      </c>
      <c r="N59" s="1"/>
      <c r="O59" s="1"/>
      <c r="P59" s="1" t="s">
        <v>1250</v>
      </c>
      <c r="Q59" s="1" t="s">
        <v>721</v>
      </c>
      <c r="R59" s="1" t="s">
        <v>479</v>
      </c>
      <c r="S59" s="6" t="s">
        <v>479</v>
      </c>
      <c r="T59" s="6" t="s">
        <v>479</v>
      </c>
      <c r="U59" s="6" t="s">
        <v>479</v>
      </c>
      <c r="V59" s="6" t="s">
        <v>479</v>
      </c>
      <c r="W59" s="6" t="s">
        <v>479</v>
      </c>
      <c r="X59" s="6" t="s">
        <v>479</v>
      </c>
      <c r="Y59" s="6" t="s">
        <v>722</v>
      </c>
      <c r="AA59" s="6" t="s">
        <v>723</v>
      </c>
    </row>
    <row r="60" spans="1:27" ht="16.5" customHeight="1" x14ac:dyDescent="0.2">
      <c r="A60" s="22" t="s">
        <v>694</v>
      </c>
      <c r="B60" s="1" t="s">
        <v>694</v>
      </c>
      <c r="C60" s="6" t="s">
        <v>26</v>
      </c>
      <c r="D60" s="1" t="s">
        <v>1154</v>
      </c>
      <c r="E60" s="1" t="s">
        <v>248</v>
      </c>
      <c r="F60" s="1" t="s">
        <v>478</v>
      </c>
      <c r="G60" s="1" t="s">
        <v>695</v>
      </c>
      <c r="H60" s="1" t="s">
        <v>479</v>
      </c>
      <c r="I60" s="8" t="s">
        <v>479</v>
      </c>
      <c r="J60" s="1" t="s">
        <v>479</v>
      </c>
      <c r="K60" s="1" t="s">
        <v>479</v>
      </c>
      <c r="L60" s="1" t="s">
        <v>479</v>
      </c>
      <c r="M60" s="1" t="s">
        <v>479</v>
      </c>
      <c r="N60" s="1"/>
      <c r="O60" s="1" t="s">
        <v>1398</v>
      </c>
      <c r="P60" s="1" t="s">
        <v>1251</v>
      </c>
      <c r="Q60" s="1" t="s">
        <v>725</v>
      </c>
      <c r="R60" s="1" t="s">
        <v>479</v>
      </c>
      <c r="S60" s="6" t="s">
        <v>479</v>
      </c>
      <c r="T60" s="6" t="s">
        <v>479</v>
      </c>
      <c r="U60" s="6" t="s">
        <v>479</v>
      </c>
      <c r="V60" s="6" t="s">
        <v>479</v>
      </c>
      <c r="W60" s="6" t="s">
        <v>479</v>
      </c>
      <c r="X60" s="6" t="s">
        <v>479</v>
      </c>
      <c r="Y60" s="6" t="s">
        <v>726</v>
      </c>
      <c r="AA60" s="6" t="s">
        <v>727</v>
      </c>
    </row>
    <row r="61" spans="1:27" ht="16.5" customHeight="1" x14ac:dyDescent="0.2">
      <c r="A61" s="22" t="s">
        <v>698</v>
      </c>
      <c r="B61" s="1" t="s">
        <v>698</v>
      </c>
      <c r="C61" s="6" t="s">
        <v>37</v>
      </c>
      <c r="D61" s="1" t="s">
        <v>1154</v>
      </c>
      <c r="E61" s="1" t="s">
        <v>248</v>
      </c>
      <c r="F61" s="1" t="s">
        <v>699</v>
      </c>
      <c r="G61" s="1" t="s">
        <v>609</v>
      </c>
      <c r="H61" s="1" t="s">
        <v>479</v>
      </c>
      <c r="I61" s="7" t="s">
        <v>479</v>
      </c>
      <c r="J61" s="1" t="s">
        <v>479</v>
      </c>
      <c r="K61" s="1" t="s">
        <v>479</v>
      </c>
      <c r="L61" s="1" t="s">
        <v>479</v>
      </c>
      <c r="M61" s="1" t="s">
        <v>479</v>
      </c>
      <c r="N61" s="1"/>
      <c r="O61" s="1" t="s">
        <v>1252</v>
      </c>
      <c r="P61" s="1" t="s">
        <v>1253</v>
      </c>
      <c r="Q61" s="1" t="s">
        <v>729</v>
      </c>
      <c r="R61" s="1" t="s">
        <v>479</v>
      </c>
      <c r="S61" s="6" t="s">
        <v>479</v>
      </c>
      <c r="T61" s="6" t="s">
        <v>479</v>
      </c>
      <c r="U61" s="6" t="s">
        <v>479</v>
      </c>
      <c r="V61" s="6" t="s">
        <v>479</v>
      </c>
      <c r="W61" s="6" t="s">
        <v>479</v>
      </c>
      <c r="X61" s="6" t="s">
        <v>479</v>
      </c>
      <c r="Y61" s="6" t="s">
        <v>730</v>
      </c>
      <c r="Z61" s="6" t="s">
        <v>731</v>
      </c>
      <c r="AA61" s="6" t="s">
        <v>732</v>
      </c>
    </row>
    <row r="62" spans="1:27" ht="16.5" customHeight="1" x14ac:dyDescent="0.2">
      <c r="A62" s="22" t="s">
        <v>702</v>
      </c>
      <c r="B62" s="1" t="s">
        <v>702</v>
      </c>
      <c r="C62" s="6" t="s">
        <v>17</v>
      </c>
      <c r="D62" s="1" t="s">
        <v>1157</v>
      </c>
      <c r="E62" s="1" t="s">
        <v>248</v>
      </c>
      <c r="F62" s="1" t="s">
        <v>679</v>
      </c>
      <c r="G62" s="1" t="s">
        <v>680</v>
      </c>
      <c r="H62" s="1" t="s">
        <v>479</v>
      </c>
      <c r="I62" s="8" t="s">
        <v>479</v>
      </c>
      <c r="J62" s="1" t="s">
        <v>479</v>
      </c>
      <c r="K62" s="1" t="s">
        <v>479</v>
      </c>
      <c r="L62" s="1" t="s">
        <v>479</v>
      </c>
      <c r="M62" s="1" t="s">
        <v>479</v>
      </c>
      <c r="N62" s="1"/>
      <c r="O62" s="1"/>
      <c r="P62" s="1" t="s">
        <v>1254</v>
      </c>
      <c r="Q62" s="1" t="s">
        <v>721</v>
      </c>
      <c r="R62" s="1" t="s">
        <v>734</v>
      </c>
      <c r="S62" s="6" t="s">
        <v>479</v>
      </c>
      <c r="T62" s="6" t="s">
        <v>479</v>
      </c>
      <c r="U62" s="6" t="s">
        <v>479</v>
      </c>
      <c r="V62" s="6" t="s">
        <v>479</v>
      </c>
      <c r="W62" s="6" t="s">
        <v>479</v>
      </c>
      <c r="X62" s="6" t="s">
        <v>479</v>
      </c>
      <c r="AA62" s="6" t="s">
        <v>735</v>
      </c>
    </row>
    <row r="63" spans="1:27" ht="16.5" customHeight="1" x14ac:dyDescent="0.2">
      <c r="A63" s="22" t="s">
        <v>704</v>
      </c>
      <c r="B63" s="1" t="s">
        <v>704</v>
      </c>
      <c r="C63" s="6" t="s">
        <v>17</v>
      </c>
      <c r="D63" s="1" t="s">
        <v>1157</v>
      </c>
      <c r="E63" s="1" t="s">
        <v>248</v>
      </c>
      <c r="F63" s="1" t="s">
        <v>683</v>
      </c>
      <c r="G63" s="1" t="s">
        <v>684</v>
      </c>
      <c r="H63" s="1" t="s">
        <v>479</v>
      </c>
      <c r="I63" s="7" t="s">
        <v>479</v>
      </c>
      <c r="J63" s="1" t="s">
        <v>479</v>
      </c>
      <c r="K63" s="1" t="s">
        <v>479</v>
      </c>
      <c r="L63" s="1" t="s">
        <v>479</v>
      </c>
      <c r="M63" s="1" t="s">
        <v>479</v>
      </c>
      <c r="N63" s="1"/>
      <c r="O63" s="1"/>
      <c r="P63" s="1" t="s">
        <v>1255</v>
      </c>
      <c r="Q63" s="1" t="s">
        <v>737</v>
      </c>
      <c r="R63" s="1" t="s">
        <v>679</v>
      </c>
      <c r="S63" s="6" t="s">
        <v>479</v>
      </c>
      <c r="T63" s="6" t="s">
        <v>479</v>
      </c>
      <c r="U63" s="6" t="s">
        <v>479</v>
      </c>
      <c r="V63" s="6" t="s">
        <v>479</v>
      </c>
      <c r="W63" s="6" t="s">
        <v>479</v>
      </c>
      <c r="X63" s="6" t="s">
        <v>479</v>
      </c>
      <c r="AA63" s="6" t="s">
        <v>738</v>
      </c>
    </row>
    <row r="64" spans="1:27" ht="16.5" customHeight="1" x14ac:dyDescent="0.2">
      <c r="A64" s="22" t="s">
        <v>706</v>
      </c>
      <c r="B64" s="1" t="s">
        <v>706</v>
      </c>
      <c r="C64" s="6" t="s">
        <v>22</v>
      </c>
      <c r="D64" s="1" t="s">
        <v>1157</v>
      </c>
      <c r="E64" s="1" t="s">
        <v>248</v>
      </c>
      <c r="F64" s="1" t="s">
        <v>687</v>
      </c>
      <c r="G64" s="1" t="s">
        <v>688</v>
      </c>
      <c r="H64" s="1" t="s">
        <v>479</v>
      </c>
      <c r="I64" s="7" t="s">
        <v>479</v>
      </c>
      <c r="J64" s="1" t="s">
        <v>479</v>
      </c>
      <c r="K64" s="1" t="s">
        <v>479</v>
      </c>
      <c r="L64" s="1" t="s">
        <v>479</v>
      </c>
      <c r="M64" s="1" t="s">
        <v>479</v>
      </c>
      <c r="N64" s="1"/>
      <c r="O64" s="1" t="s">
        <v>1399</v>
      </c>
      <c r="P64" s="1" t="s">
        <v>1256</v>
      </c>
      <c r="Q64" s="1" t="s">
        <v>740</v>
      </c>
      <c r="R64" s="1" t="s">
        <v>491</v>
      </c>
      <c r="S64" s="6" t="s">
        <v>479</v>
      </c>
      <c r="T64" s="6" t="s">
        <v>479</v>
      </c>
      <c r="U64" s="6" t="s">
        <v>479</v>
      </c>
      <c r="V64" s="6" t="s">
        <v>479</v>
      </c>
      <c r="W64" s="6" t="s">
        <v>479</v>
      </c>
      <c r="X64" s="6" t="s">
        <v>479</v>
      </c>
      <c r="Z64" s="6" t="s">
        <v>741</v>
      </c>
      <c r="AA64" s="6" t="s">
        <v>742</v>
      </c>
    </row>
    <row r="65" spans="1:27" ht="16.5" customHeight="1" x14ac:dyDescent="0.2">
      <c r="A65" s="22" t="s">
        <v>709</v>
      </c>
      <c r="B65" s="1" t="s">
        <v>709</v>
      </c>
      <c r="C65" s="6" t="s">
        <v>17</v>
      </c>
      <c r="D65" s="1" t="s">
        <v>1257</v>
      </c>
      <c r="E65" s="1" t="s">
        <v>248</v>
      </c>
      <c r="F65" s="1" t="s">
        <v>710</v>
      </c>
      <c r="G65" s="1" t="s">
        <v>711</v>
      </c>
      <c r="H65" s="1" t="s">
        <v>479</v>
      </c>
      <c r="I65" s="8" t="s">
        <v>479</v>
      </c>
      <c r="J65" s="1" t="s">
        <v>479</v>
      </c>
      <c r="K65" s="1" t="s">
        <v>479</v>
      </c>
      <c r="L65" s="1" t="s">
        <v>479</v>
      </c>
      <c r="M65" s="1" t="s">
        <v>479</v>
      </c>
      <c r="N65" s="1"/>
      <c r="O65" s="1"/>
      <c r="P65" s="1" t="s">
        <v>1258</v>
      </c>
      <c r="Q65" s="1" t="s">
        <v>665</v>
      </c>
      <c r="R65" s="1" t="s">
        <v>479</v>
      </c>
      <c r="S65" s="6" t="s">
        <v>479</v>
      </c>
      <c r="T65" s="6" t="s">
        <v>479</v>
      </c>
      <c r="U65" s="6" t="s">
        <v>479</v>
      </c>
      <c r="V65" s="6" t="s">
        <v>479</v>
      </c>
      <c r="W65" s="6" t="s">
        <v>479</v>
      </c>
      <c r="X65" s="6" t="s">
        <v>479</v>
      </c>
      <c r="Y65" s="6" t="s">
        <v>744</v>
      </c>
      <c r="Z65" s="6" t="s">
        <v>745</v>
      </c>
      <c r="AA65" s="6" t="s">
        <v>746</v>
      </c>
    </row>
    <row r="66" spans="1:27" ht="16.5" customHeight="1" x14ac:dyDescent="0.2">
      <c r="A66" s="22" t="s">
        <v>713</v>
      </c>
      <c r="B66" s="1" t="s">
        <v>713</v>
      </c>
      <c r="C66" s="6" t="s">
        <v>22</v>
      </c>
      <c r="D66" s="1" t="s">
        <v>1257</v>
      </c>
      <c r="E66" s="1" t="s">
        <v>248</v>
      </c>
      <c r="F66" s="1" t="s">
        <v>490</v>
      </c>
      <c r="G66" s="1" t="s">
        <v>714</v>
      </c>
      <c r="H66" s="1" t="s">
        <v>479</v>
      </c>
      <c r="I66" s="7" t="s">
        <v>479</v>
      </c>
      <c r="J66" s="1" t="s">
        <v>479</v>
      </c>
      <c r="K66" s="1" t="s">
        <v>479</v>
      </c>
      <c r="L66" s="1" t="s">
        <v>479</v>
      </c>
      <c r="M66" s="1" t="s">
        <v>479</v>
      </c>
      <c r="N66" s="1"/>
      <c r="O66" s="1"/>
      <c r="P66" s="1" t="s">
        <v>1259</v>
      </c>
      <c r="Q66" s="1" t="s">
        <v>479</v>
      </c>
      <c r="R66" s="1" t="s">
        <v>479</v>
      </c>
      <c r="S66" s="6" t="s">
        <v>479</v>
      </c>
      <c r="T66" s="6" t="s">
        <v>479</v>
      </c>
      <c r="U66" s="6" t="s">
        <v>479</v>
      </c>
      <c r="V66" s="6" t="s">
        <v>479</v>
      </c>
      <c r="Y66" s="6" t="s">
        <v>750</v>
      </c>
    </row>
    <row r="67" spans="1:27" ht="16.5" customHeight="1" x14ac:dyDescent="0.2">
      <c r="A67" s="22" t="s">
        <v>716</v>
      </c>
      <c r="B67" s="1" t="s">
        <v>716</v>
      </c>
      <c r="C67" s="6" t="s">
        <v>26</v>
      </c>
      <c r="D67" s="1" t="s">
        <v>1257</v>
      </c>
      <c r="E67" s="1" t="s">
        <v>248</v>
      </c>
      <c r="F67" s="1" t="s">
        <v>495</v>
      </c>
      <c r="G67" s="1" t="s">
        <v>717</v>
      </c>
      <c r="H67" s="1" t="s">
        <v>479</v>
      </c>
      <c r="I67" s="7" t="s">
        <v>479</v>
      </c>
      <c r="J67" s="1" t="s">
        <v>479</v>
      </c>
      <c r="K67" s="1" t="s">
        <v>479</v>
      </c>
      <c r="L67" s="1" t="s">
        <v>479</v>
      </c>
      <c r="M67" s="1" t="s">
        <v>479</v>
      </c>
      <c r="N67" s="1"/>
      <c r="O67" s="1" t="s">
        <v>1400</v>
      </c>
      <c r="P67" s="1" t="s">
        <v>1260</v>
      </c>
      <c r="Q67" s="1" t="s">
        <v>479</v>
      </c>
      <c r="R67" s="1" t="s">
        <v>479</v>
      </c>
      <c r="S67" s="6" t="s">
        <v>479</v>
      </c>
      <c r="T67" s="6" t="s">
        <v>479</v>
      </c>
      <c r="U67" s="6" t="s">
        <v>479</v>
      </c>
      <c r="V67" s="6" t="s">
        <v>479</v>
      </c>
      <c r="Y67" s="6" t="s">
        <v>754</v>
      </c>
    </row>
    <row r="68" spans="1:27" ht="16.5" customHeight="1" x14ac:dyDescent="0.2">
      <c r="A68" s="22" t="s">
        <v>720</v>
      </c>
      <c r="B68" s="1" t="s">
        <v>720</v>
      </c>
      <c r="C68" s="6" t="s">
        <v>17</v>
      </c>
      <c r="D68" s="1" t="s">
        <v>1157</v>
      </c>
      <c r="E68" s="1" t="s">
        <v>248</v>
      </c>
      <c r="F68" s="1" t="s">
        <v>721</v>
      </c>
      <c r="G68" s="1" t="s">
        <v>479</v>
      </c>
      <c r="H68" s="1" t="s">
        <v>479</v>
      </c>
      <c r="I68" s="8" t="s">
        <v>479</v>
      </c>
      <c r="J68" s="1" t="s">
        <v>479</v>
      </c>
      <c r="K68" s="1" t="s">
        <v>479</v>
      </c>
      <c r="L68" s="1" t="s">
        <v>479</v>
      </c>
      <c r="M68" s="1" t="s">
        <v>479</v>
      </c>
      <c r="N68" s="1" t="s">
        <v>722</v>
      </c>
      <c r="O68" s="1"/>
      <c r="P68" s="1" t="s">
        <v>1261</v>
      </c>
      <c r="Q68" s="1" t="s">
        <v>479</v>
      </c>
      <c r="R68" s="1" t="s">
        <v>479</v>
      </c>
      <c r="S68" s="6" t="s">
        <v>479</v>
      </c>
      <c r="T68" s="6" t="s">
        <v>479</v>
      </c>
      <c r="U68" s="6" t="s">
        <v>479</v>
      </c>
      <c r="V68" s="6" t="s">
        <v>479</v>
      </c>
      <c r="X68" s="6" t="s">
        <v>758</v>
      </c>
      <c r="Y68" s="6" t="s">
        <v>759</v>
      </c>
    </row>
    <row r="69" spans="1:27" ht="16.5" customHeight="1" x14ac:dyDescent="0.2">
      <c r="A69" s="22" t="s">
        <v>724</v>
      </c>
      <c r="B69" s="1" t="s">
        <v>724</v>
      </c>
      <c r="C69" s="6" t="s">
        <v>17</v>
      </c>
      <c r="D69" s="1" t="s">
        <v>1157</v>
      </c>
      <c r="E69" s="1" t="s">
        <v>248</v>
      </c>
      <c r="F69" s="1" t="s">
        <v>725</v>
      </c>
      <c r="G69" s="1" t="s">
        <v>479</v>
      </c>
      <c r="H69" s="1" t="s">
        <v>479</v>
      </c>
      <c r="I69" s="7" t="s">
        <v>479</v>
      </c>
      <c r="J69" s="1" t="s">
        <v>479</v>
      </c>
      <c r="K69" s="1" t="s">
        <v>479</v>
      </c>
      <c r="L69" s="1" t="s">
        <v>479</v>
      </c>
      <c r="M69" s="1" t="s">
        <v>479</v>
      </c>
      <c r="N69" s="1" t="s">
        <v>726</v>
      </c>
      <c r="O69" s="1"/>
      <c r="P69" s="1" t="s">
        <v>1262</v>
      </c>
      <c r="Q69" s="1"/>
      <c r="R69" s="1" t="s">
        <v>764</v>
      </c>
    </row>
    <row r="70" spans="1:27" ht="16.5" customHeight="1" x14ac:dyDescent="0.2">
      <c r="A70" s="22" t="s">
        <v>728</v>
      </c>
      <c r="B70" s="1" t="s">
        <v>728</v>
      </c>
      <c r="C70" s="6" t="s">
        <v>22</v>
      </c>
      <c r="D70" s="1" t="s">
        <v>1157</v>
      </c>
      <c r="E70" s="1" t="s">
        <v>248</v>
      </c>
      <c r="F70" s="1" t="s">
        <v>729</v>
      </c>
      <c r="G70" s="1" t="s">
        <v>479</v>
      </c>
      <c r="H70" s="1" t="s">
        <v>479</v>
      </c>
      <c r="I70" s="7" t="s">
        <v>479</v>
      </c>
      <c r="J70" s="1" t="s">
        <v>479</v>
      </c>
      <c r="K70" s="1" t="s">
        <v>479</v>
      </c>
      <c r="L70" s="1" t="s">
        <v>479</v>
      </c>
      <c r="M70" s="1" t="s">
        <v>479</v>
      </c>
      <c r="N70" s="1" t="s">
        <v>730</v>
      </c>
      <c r="O70" s="1" t="s">
        <v>1263</v>
      </c>
      <c r="P70" s="1" t="s">
        <v>1264</v>
      </c>
      <c r="Q70" s="1" t="s">
        <v>725</v>
      </c>
      <c r="R70" s="1" t="s">
        <v>479</v>
      </c>
      <c r="S70" s="6" t="s">
        <v>479</v>
      </c>
      <c r="T70" s="6" t="s">
        <v>479</v>
      </c>
      <c r="U70" s="6" t="s">
        <v>479</v>
      </c>
      <c r="V70" s="6" t="s">
        <v>479</v>
      </c>
      <c r="W70" s="6" t="s">
        <v>479</v>
      </c>
      <c r="X70" s="6" t="s">
        <v>479</v>
      </c>
      <c r="Y70" s="6" t="s">
        <v>766</v>
      </c>
      <c r="AA70" s="6" t="s">
        <v>767</v>
      </c>
    </row>
    <row r="71" spans="1:27" ht="16.5" customHeight="1" x14ac:dyDescent="0.2">
      <c r="A71" s="22" t="s">
        <v>733</v>
      </c>
      <c r="B71" s="1" t="s">
        <v>733</v>
      </c>
      <c r="C71" s="6" t="s">
        <v>17</v>
      </c>
      <c r="D71" s="1" t="s">
        <v>1157</v>
      </c>
      <c r="E71" s="1" t="s">
        <v>248</v>
      </c>
      <c r="F71" s="1" t="s">
        <v>721</v>
      </c>
      <c r="G71" s="1" t="s">
        <v>734</v>
      </c>
      <c r="H71" s="1" t="s">
        <v>479</v>
      </c>
      <c r="I71" s="8" t="s">
        <v>479</v>
      </c>
      <c r="J71" s="1" t="s">
        <v>479</v>
      </c>
      <c r="K71" s="1" t="s">
        <v>479</v>
      </c>
      <c r="L71" s="1" t="s">
        <v>479</v>
      </c>
      <c r="M71" s="1" t="s">
        <v>479</v>
      </c>
      <c r="N71" s="1"/>
      <c r="O71" s="1"/>
      <c r="P71" s="1" t="s">
        <v>1265</v>
      </c>
      <c r="Q71" s="1" t="s">
        <v>729</v>
      </c>
      <c r="R71" s="1" t="s">
        <v>479</v>
      </c>
      <c r="S71" s="6" t="s">
        <v>479</v>
      </c>
      <c r="T71" s="6" t="s">
        <v>479</v>
      </c>
      <c r="U71" s="6" t="s">
        <v>479</v>
      </c>
      <c r="V71" s="6" t="s">
        <v>479</v>
      </c>
      <c r="W71" s="6" t="s">
        <v>479</v>
      </c>
      <c r="X71" s="6" t="s">
        <v>479</v>
      </c>
      <c r="Y71" s="6" t="s">
        <v>769</v>
      </c>
      <c r="AA71" s="6" t="s">
        <v>770</v>
      </c>
    </row>
    <row r="72" spans="1:27" ht="16.5" customHeight="1" x14ac:dyDescent="0.2">
      <c r="A72" s="22" t="s">
        <v>736</v>
      </c>
      <c r="B72" s="1" t="s">
        <v>736</v>
      </c>
      <c r="C72" s="6" t="s">
        <v>22</v>
      </c>
      <c r="D72" s="1" t="s">
        <v>1157</v>
      </c>
      <c r="E72" s="1" t="s">
        <v>248</v>
      </c>
      <c r="F72" s="1" t="s">
        <v>737</v>
      </c>
      <c r="G72" s="1" t="s">
        <v>679</v>
      </c>
      <c r="H72" s="1" t="s">
        <v>479</v>
      </c>
      <c r="I72" s="7" t="s">
        <v>479</v>
      </c>
      <c r="J72" s="1" t="s">
        <v>479</v>
      </c>
      <c r="K72" s="1" t="s">
        <v>479</v>
      </c>
      <c r="L72" s="1" t="s">
        <v>479</v>
      </c>
      <c r="M72" s="1" t="s">
        <v>479</v>
      </c>
      <c r="N72" s="1"/>
      <c r="O72" s="1"/>
      <c r="P72" s="1" t="s">
        <v>1266</v>
      </c>
      <c r="Q72" s="1" t="s">
        <v>665</v>
      </c>
      <c r="R72" s="1" t="s">
        <v>479</v>
      </c>
      <c r="S72" s="6" t="s">
        <v>479</v>
      </c>
      <c r="T72" s="6" t="s">
        <v>479</v>
      </c>
      <c r="U72" s="6" t="s">
        <v>479</v>
      </c>
      <c r="V72" s="6" t="s">
        <v>479</v>
      </c>
      <c r="W72" s="6" t="s">
        <v>479</v>
      </c>
      <c r="X72" s="6" t="s">
        <v>479</v>
      </c>
      <c r="Y72" s="6" t="s">
        <v>772</v>
      </c>
      <c r="Z72" s="6" t="s">
        <v>773</v>
      </c>
      <c r="AA72" s="6" t="s">
        <v>774</v>
      </c>
    </row>
    <row r="73" spans="1:27" ht="16.5" customHeight="1" x14ac:dyDescent="0.2">
      <c r="A73" s="22" t="s">
        <v>739</v>
      </c>
      <c r="B73" s="1" t="s">
        <v>739</v>
      </c>
      <c r="C73" s="6" t="s">
        <v>26</v>
      </c>
      <c r="D73" s="1" t="s">
        <v>1157</v>
      </c>
      <c r="E73" s="1" t="s">
        <v>248</v>
      </c>
      <c r="F73" s="1" t="s">
        <v>740</v>
      </c>
      <c r="G73" s="1" t="s">
        <v>491</v>
      </c>
      <c r="H73" s="1" t="s">
        <v>479</v>
      </c>
      <c r="I73" s="7" t="s">
        <v>479</v>
      </c>
      <c r="J73" s="1" t="s">
        <v>479</v>
      </c>
      <c r="K73" s="1" t="s">
        <v>479</v>
      </c>
      <c r="L73" s="1" t="s">
        <v>479</v>
      </c>
      <c r="M73" s="1" t="s">
        <v>479</v>
      </c>
      <c r="N73" s="1"/>
      <c r="O73" s="1" t="s">
        <v>1401</v>
      </c>
      <c r="P73" s="1" t="s">
        <v>1267</v>
      </c>
      <c r="Q73" s="1"/>
      <c r="R73" s="1" t="s">
        <v>778</v>
      </c>
    </row>
    <row r="74" spans="1:27" ht="16.5" customHeight="1" x14ac:dyDescent="0.2">
      <c r="A74" s="22" t="s">
        <v>1268</v>
      </c>
      <c r="B74" s="1" t="s">
        <v>1268</v>
      </c>
      <c r="C74" s="6" t="s">
        <v>37</v>
      </c>
      <c r="D74" s="1" t="s">
        <v>1157</v>
      </c>
      <c r="E74" s="1" t="s">
        <v>38</v>
      </c>
      <c r="F74" s="1" t="s">
        <v>488</v>
      </c>
      <c r="G74" s="1" t="s">
        <v>1199</v>
      </c>
      <c r="H74" s="1" t="s">
        <v>479</v>
      </c>
      <c r="I74" s="7" t="s">
        <v>479</v>
      </c>
      <c r="J74" s="1" t="s">
        <v>479</v>
      </c>
      <c r="K74" s="1" t="s">
        <v>479</v>
      </c>
      <c r="L74" s="1" t="s">
        <v>479</v>
      </c>
      <c r="M74" s="1" t="s">
        <v>479</v>
      </c>
      <c r="N74" s="1" t="s">
        <v>1269</v>
      </c>
      <c r="O74" s="1"/>
      <c r="P74" s="1" t="s">
        <v>1270</v>
      </c>
      <c r="Q74" s="1"/>
      <c r="R74" s="1" t="s">
        <v>782</v>
      </c>
    </row>
    <row r="75" spans="1:27" ht="16.5" customHeight="1" x14ac:dyDescent="0.2">
      <c r="A75" s="22" t="s">
        <v>743</v>
      </c>
      <c r="B75" s="1" t="s">
        <v>743</v>
      </c>
      <c r="C75" s="6" t="s">
        <v>37</v>
      </c>
      <c r="D75" s="1" t="s">
        <v>1157</v>
      </c>
      <c r="E75" s="1" t="s">
        <v>38</v>
      </c>
      <c r="F75" s="1" t="s">
        <v>665</v>
      </c>
      <c r="G75" s="1" t="s">
        <v>479</v>
      </c>
      <c r="H75" s="1" t="s">
        <v>479</v>
      </c>
      <c r="I75" s="8" t="s">
        <v>479</v>
      </c>
      <c r="J75" s="1" t="s">
        <v>479</v>
      </c>
      <c r="K75" s="1" t="s">
        <v>479</v>
      </c>
      <c r="L75" s="1" t="s">
        <v>479</v>
      </c>
      <c r="M75" s="1" t="s">
        <v>479</v>
      </c>
      <c r="N75" s="1" t="s">
        <v>744</v>
      </c>
      <c r="O75" s="1" t="s">
        <v>745</v>
      </c>
      <c r="P75" s="1" t="s">
        <v>1271</v>
      </c>
      <c r="Q75" s="1" t="s">
        <v>785</v>
      </c>
      <c r="R75" s="1" t="s">
        <v>786</v>
      </c>
    </row>
    <row r="76" spans="1:27" ht="16.5" customHeight="1" x14ac:dyDescent="0.2">
      <c r="A76" s="22" t="s">
        <v>747</v>
      </c>
      <c r="B76" s="1" t="s">
        <v>747</v>
      </c>
      <c r="C76" s="6" t="s">
        <v>17</v>
      </c>
      <c r="D76" s="1" t="s">
        <v>1164</v>
      </c>
      <c r="E76" s="1" t="s">
        <v>248</v>
      </c>
      <c r="F76" s="1" t="s">
        <v>748</v>
      </c>
      <c r="G76" s="1" t="s">
        <v>749</v>
      </c>
      <c r="H76" s="1" t="s">
        <v>479</v>
      </c>
      <c r="I76" s="7" t="s">
        <v>479</v>
      </c>
      <c r="J76" s="1" t="s">
        <v>479</v>
      </c>
      <c r="K76" s="1" t="s">
        <v>479</v>
      </c>
      <c r="L76" s="1" t="s">
        <v>479</v>
      </c>
      <c r="M76" s="1" t="s">
        <v>479</v>
      </c>
      <c r="N76" s="1"/>
      <c r="O76" s="1"/>
      <c r="P76" s="1" t="s">
        <v>1272</v>
      </c>
      <c r="Q76" s="1"/>
      <c r="R76" s="1"/>
    </row>
    <row r="77" spans="1:27" ht="16.5" customHeight="1" x14ac:dyDescent="0.2">
      <c r="A77" s="22" t="s">
        <v>751</v>
      </c>
      <c r="B77" s="1" t="s">
        <v>751</v>
      </c>
      <c r="C77" s="6" t="s">
        <v>17</v>
      </c>
      <c r="D77" s="1" t="s">
        <v>1164</v>
      </c>
      <c r="E77" s="1" t="s">
        <v>248</v>
      </c>
      <c r="F77" s="1" t="s">
        <v>752</v>
      </c>
      <c r="G77" s="1" t="s">
        <v>753</v>
      </c>
      <c r="H77" s="1" t="s">
        <v>479</v>
      </c>
      <c r="I77" s="7" t="s">
        <v>479</v>
      </c>
      <c r="J77" s="1" t="s">
        <v>479</v>
      </c>
      <c r="K77" s="1" t="s">
        <v>479</v>
      </c>
      <c r="L77" s="1" t="s">
        <v>479</v>
      </c>
      <c r="M77" s="1" t="s">
        <v>479</v>
      </c>
      <c r="N77" s="1"/>
      <c r="O77" s="1"/>
      <c r="P77" s="1" t="s">
        <v>1273</v>
      </c>
      <c r="Q77" s="1"/>
      <c r="R77" s="1"/>
    </row>
    <row r="78" spans="1:27" ht="16.5" customHeight="1" x14ac:dyDescent="0.2">
      <c r="A78" s="22" t="s">
        <v>755</v>
      </c>
      <c r="B78" s="1" t="s">
        <v>755</v>
      </c>
      <c r="C78" s="6" t="s">
        <v>22</v>
      </c>
      <c r="D78" s="1" t="s">
        <v>1164</v>
      </c>
      <c r="E78" s="1" t="s">
        <v>248</v>
      </c>
      <c r="F78" s="1" t="s">
        <v>756</v>
      </c>
      <c r="G78" s="1" t="s">
        <v>757</v>
      </c>
      <c r="H78" s="1" t="s">
        <v>479</v>
      </c>
      <c r="I78" s="8" t="s">
        <v>479</v>
      </c>
      <c r="J78" s="1" t="s">
        <v>479</v>
      </c>
      <c r="K78" s="1" t="s">
        <v>479</v>
      </c>
      <c r="L78" s="1" t="s">
        <v>479</v>
      </c>
      <c r="M78" s="1" t="s">
        <v>479</v>
      </c>
      <c r="N78" s="1"/>
      <c r="O78" s="1" t="s">
        <v>1402</v>
      </c>
      <c r="P78" s="1" t="s">
        <v>1274</v>
      </c>
      <c r="Q78" s="1"/>
      <c r="R78" s="1"/>
    </row>
    <row r="79" spans="1:27" ht="16.5" customHeight="1" x14ac:dyDescent="0.2">
      <c r="A79" s="22" t="s">
        <v>760</v>
      </c>
      <c r="B79" s="1" t="s">
        <v>760</v>
      </c>
      <c r="C79" s="6" t="s">
        <v>37</v>
      </c>
      <c r="D79" s="1" t="s">
        <v>1275</v>
      </c>
      <c r="E79" s="1" t="s">
        <v>38</v>
      </c>
      <c r="F79" s="1" t="s">
        <v>761</v>
      </c>
      <c r="G79" s="1" t="s">
        <v>762</v>
      </c>
      <c r="H79" s="1" t="s">
        <v>479</v>
      </c>
      <c r="I79" s="7" t="s">
        <v>479</v>
      </c>
      <c r="J79" s="1" t="s">
        <v>479</v>
      </c>
      <c r="K79" s="1" t="s">
        <v>479</v>
      </c>
      <c r="L79" s="1" t="s">
        <v>479</v>
      </c>
      <c r="M79" s="1" t="s">
        <v>479</v>
      </c>
      <c r="N79" s="1" t="s">
        <v>763</v>
      </c>
      <c r="O79" s="1"/>
      <c r="P79" s="1" t="s">
        <v>1276</v>
      </c>
      <c r="Q79" s="1"/>
      <c r="R79" s="1" t="s">
        <v>797</v>
      </c>
    </row>
    <row r="80" spans="1:27" ht="16.5" customHeight="1" x14ac:dyDescent="0.2">
      <c r="A80" s="22" t="s">
        <v>1277</v>
      </c>
      <c r="B80" s="1" t="s">
        <v>1277</v>
      </c>
      <c r="C80" s="6" t="s">
        <v>37</v>
      </c>
      <c r="D80" s="1" t="s">
        <v>1157</v>
      </c>
      <c r="E80" s="1" t="s">
        <v>38</v>
      </c>
      <c r="F80" s="1" t="s">
        <v>502</v>
      </c>
      <c r="G80" s="1" t="s">
        <v>829</v>
      </c>
      <c r="H80" s="1" t="s">
        <v>479</v>
      </c>
      <c r="I80" s="8" t="s">
        <v>479</v>
      </c>
      <c r="J80" s="1" t="s">
        <v>479</v>
      </c>
      <c r="K80" s="1" t="s">
        <v>479</v>
      </c>
      <c r="L80" s="1" t="s">
        <v>479</v>
      </c>
      <c r="M80" s="1" t="s">
        <v>479</v>
      </c>
      <c r="N80" s="1" t="s">
        <v>1278</v>
      </c>
      <c r="O80" s="1"/>
      <c r="P80" s="1" t="s">
        <v>1279</v>
      </c>
      <c r="Q80" s="1" t="s">
        <v>479</v>
      </c>
      <c r="R80" s="1" t="s">
        <v>479</v>
      </c>
      <c r="S80" s="6" t="s">
        <v>479</v>
      </c>
      <c r="T80" s="6" t="s">
        <v>479</v>
      </c>
      <c r="U80" s="6" t="s">
        <v>479</v>
      </c>
      <c r="V80" s="6" t="s">
        <v>479</v>
      </c>
      <c r="Y80" s="6" t="s">
        <v>800</v>
      </c>
    </row>
    <row r="81" spans="1:27" ht="16.5" customHeight="1" x14ac:dyDescent="0.2">
      <c r="A81" s="22" t="s">
        <v>765</v>
      </c>
      <c r="B81" s="1" t="s">
        <v>765</v>
      </c>
      <c r="C81" s="6" t="s">
        <v>17</v>
      </c>
      <c r="D81" s="1" t="s">
        <v>1157</v>
      </c>
      <c r="E81" s="1" t="s">
        <v>248</v>
      </c>
      <c r="F81" s="1" t="s">
        <v>725</v>
      </c>
      <c r="G81" s="1" t="s">
        <v>479</v>
      </c>
      <c r="H81" s="1" t="s">
        <v>479</v>
      </c>
      <c r="I81" s="8" t="s">
        <v>479</v>
      </c>
      <c r="J81" s="1" t="s">
        <v>479</v>
      </c>
      <c r="K81" s="1" t="s">
        <v>479</v>
      </c>
      <c r="L81" s="1" t="s">
        <v>479</v>
      </c>
      <c r="M81" s="1" t="s">
        <v>479</v>
      </c>
      <c r="N81" s="1" t="s">
        <v>766</v>
      </c>
      <c r="O81" s="1"/>
      <c r="P81" s="1" t="s">
        <v>1280</v>
      </c>
      <c r="Q81" s="1" t="s">
        <v>479</v>
      </c>
      <c r="R81" s="1" t="s">
        <v>479</v>
      </c>
      <c r="S81" s="6" t="s">
        <v>479</v>
      </c>
      <c r="T81" s="6" t="s">
        <v>479</v>
      </c>
      <c r="U81" s="6" t="s">
        <v>479</v>
      </c>
      <c r="V81" s="6" t="s">
        <v>479</v>
      </c>
      <c r="Y81" s="6" t="s">
        <v>803</v>
      </c>
    </row>
    <row r="82" spans="1:27" ht="16.5" customHeight="1" x14ac:dyDescent="0.2">
      <c r="A82" s="22" t="s">
        <v>768</v>
      </c>
      <c r="B82" s="1" t="s">
        <v>768</v>
      </c>
      <c r="C82" s="6" t="s">
        <v>22</v>
      </c>
      <c r="D82" s="1" t="s">
        <v>1157</v>
      </c>
      <c r="E82" s="1" t="s">
        <v>248</v>
      </c>
      <c r="F82" s="1" t="s">
        <v>729</v>
      </c>
      <c r="G82" s="1" t="s">
        <v>479</v>
      </c>
      <c r="H82" s="1" t="s">
        <v>479</v>
      </c>
      <c r="I82" s="7" t="s">
        <v>479</v>
      </c>
      <c r="J82" s="1" t="s">
        <v>479</v>
      </c>
      <c r="K82" s="1" t="s">
        <v>479</v>
      </c>
      <c r="L82" s="1" t="s">
        <v>479</v>
      </c>
      <c r="M82" s="1" t="s">
        <v>479</v>
      </c>
      <c r="N82" s="1" t="s">
        <v>769</v>
      </c>
      <c r="O82" s="1"/>
      <c r="P82" s="1" t="s">
        <v>1281</v>
      </c>
      <c r="Q82" s="1" t="s">
        <v>479</v>
      </c>
      <c r="R82" s="1" t="s">
        <v>479</v>
      </c>
      <c r="S82" s="6" t="s">
        <v>479</v>
      </c>
      <c r="T82" s="6" t="s">
        <v>479</v>
      </c>
      <c r="U82" s="6" t="s">
        <v>479</v>
      </c>
      <c r="V82" s="6" t="s">
        <v>479</v>
      </c>
      <c r="X82" s="6" t="s">
        <v>807</v>
      </c>
      <c r="Y82" s="6" t="s">
        <v>808</v>
      </c>
    </row>
    <row r="83" spans="1:27" ht="16.5" customHeight="1" x14ac:dyDescent="0.2">
      <c r="A83" s="22" t="s">
        <v>771</v>
      </c>
      <c r="B83" s="1" t="s">
        <v>771</v>
      </c>
      <c r="C83" s="6" t="s">
        <v>26</v>
      </c>
      <c r="D83" s="1" t="s">
        <v>1157</v>
      </c>
      <c r="E83" s="1" t="s">
        <v>248</v>
      </c>
      <c r="F83" s="1" t="s">
        <v>665</v>
      </c>
      <c r="G83" s="1" t="s">
        <v>479</v>
      </c>
      <c r="H83" s="1" t="s">
        <v>479</v>
      </c>
      <c r="I83" s="7" t="s">
        <v>479</v>
      </c>
      <c r="J83" s="1" t="s">
        <v>479</v>
      </c>
      <c r="K83" s="1" t="s">
        <v>479</v>
      </c>
      <c r="L83" s="1" t="s">
        <v>479</v>
      </c>
      <c r="M83" s="1" t="s">
        <v>479</v>
      </c>
      <c r="N83" s="1" t="s">
        <v>772</v>
      </c>
      <c r="O83" s="1" t="s">
        <v>1403</v>
      </c>
      <c r="P83" s="1" t="s">
        <v>1282</v>
      </c>
      <c r="Q83" s="1" t="s">
        <v>479</v>
      </c>
      <c r="R83" s="1" t="s">
        <v>479</v>
      </c>
      <c r="S83" s="6" t="s">
        <v>479</v>
      </c>
      <c r="T83" s="6" t="s">
        <v>479</v>
      </c>
      <c r="U83" s="6" t="s">
        <v>479</v>
      </c>
      <c r="V83" s="6" t="s">
        <v>479</v>
      </c>
      <c r="W83" s="6" t="s">
        <v>810</v>
      </c>
      <c r="Y83" s="6" t="s">
        <v>811</v>
      </c>
    </row>
    <row r="84" spans="1:27" ht="16.5" customHeight="1" x14ac:dyDescent="0.2">
      <c r="A84" s="22" t="s">
        <v>775</v>
      </c>
      <c r="B84" s="1" t="s">
        <v>775</v>
      </c>
      <c r="C84" s="6" t="s">
        <v>17</v>
      </c>
      <c r="D84" s="1" t="s">
        <v>1154</v>
      </c>
      <c r="E84" s="1" t="s">
        <v>248</v>
      </c>
      <c r="F84" s="1" t="s">
        <v>776</v>
      </c>
      <c r="G84" s="1" t="s">
        <v>680</v>
      </c>
      <c r="H84" s="1" t="s">
        <v>479</v>
      </c>
      <c r="I84" s="7" t="s">
        <v>479</v>
      </c>
      <c r="J84" s="1" t="s">
        <v>479</v>
      </c>
      <c r="K84" s="1" t="s">
        <v>479</v>
      </c>
      <c r="L84" s="1" t="s">
        <v>479</v>
      </c>
      <c r="M84" s="1" t="s">
        <v>479</v>
      </c>
      <c r="N84" s="1" t="s">
        <v>777</v>
      </c>
      <c r="O84" s="1"/>
      <c r="P84" s="1" t="s">
        <v>1283</v>
      </c>
      <c r="Q84" s="1" t="s">
        <v>479</v>
      </c>
      <c r="R84" s="1" t="s">
        <v>479</v>
      </c>
      <c r="S84" s="6" t="s">
        <v>479</v>
      </c>
      <c r="T84" s="6" t="s">
        <v>479</v>
      </c>
      <c r="U84" s="6" t="s">
        <v>479</v>
      </c>
      <c r="V84" s="6" t="s">
        <v>479</v>
      </c>
      <c r="W84" s="6" t="s">
        <v>813</v>
      </c>
      <c r="Y84" s="6" t="s">
        <v>814</v>
      </c>
    </row>
    <row r="85" spans="1:27" ht="16.5" customHeight="1" x14ac:dyDescent="0.2">
      <c r="A85" s="22" t="s">
        <v>779</v>
      </c>
      <c r="B85" s="1" t="s">
        <v>779</v>
      </c>
      <c r="C85" s="6" t="s">
        <v>22</v>
      </c>
      <c r="D85" s="1" t="s">
        <v>1154</v>
      </c>
      <c r="E85" s="1" t="s">
        <v>248</v>
      </c>
      <c r="F85" s="1" t="s">
        <v>691</v>
      </c>
      <c r="G85" s="1" t="s">
        <v>780</v>
      </c>
      <c r="H85" s="1" t="s">
        <v>479</v>
      </c>
      <c r="I85" s="8" t="s">
        <v>479</v>
      </c>
      <c r="J85" s="1" t="s">
        <v>479</v>
      </c>
      <c r="K85" s="1" t="s">
        <v>479</v>
      </c>
      <c r="L85" s="1" t="s">
        <v>479</v>
      </c>
      <c r="M85" s="1" t="s">
        <v>479</v>
      </c>
      <c r="N85" s="1" t="s">
        <v>781</v>
      </c>
      <c r="O85" s="1"/>
      <c r="P85" s="1" t="s">
        <v>1284</v>
      </c>
      <c r="Q85" s="1" t="s">
        <v>479</v>
      </c>
      <c r="R85" s="1" t="s">
        <v>479</v>
      </c>
      <c r="S85" s="6" t="s">
        <v>479</v>
      </c>
      <c r="T85" s="6" t="s">
        <v>479</v>
      </c>
      <c r="U85" s="6" t="s">
        <v>479</v>
      </c>
      <c r="V85" s="6" t="s">
        <v>479</v>
      </c>
      <c r="W85" s="6" t="s">
        <v>816</v>
      </c>
      <c r="X85" s="6" t="s">
        <v>817</v>
      </c>
      <c r="Y85" s="6" t="s">
        <v>818</v>
      </c>
    </row>
    <row r="86" spans="1:27" ht="16.5" customHeight="1" x14ac:dyDescent="0.2">
      <c r="A86" s="22" t="s">
        <v>783</v>
      </c>
      <c r="B86" s="1" t="s">
        <v>783</v>
      </c>
      <c r="C86" s="6" t="s">
        <v>26</v>
      </c>
      <c r="D86" s="1" t="s">
        <v>1154</v>
      </c>
      <c r="E86" s="1" t="s">
        <v>248</v>
      </c>
      <c r="F86" s="1" t="s">
        <v>478</v>
      </c>
      <c r="G86" s="1" t="s">
        <v>695</v>
      </c>
      <c r="H86" s="1" t="s">
        <v>479</v>
      </c>
      <c r="I86" s="7" t="s">
        <v>479</v>
      </c>
      <c r="J86" s="1" t="s">
        <v>479</v>
      </c>
      <c r="K86" s="1" t="s">
        <v>479</v>
      </c>
      <c r="L86" s="1" t="s">
        <v>479</v>
      </c>
      <c r="M86" s="1" t="s">
        <v>479</v>
      </c>
      <c r="N86" s="1" t="s">
        <v>784</v>
      </c>
      <c r="O86" s="1" t="s">
        <v>1404</v>
      </c>
      <c r="P86" s="1" t="s">
        <v>1285</v>
      </c>
      <c r="Q86" s="1" t="s">
        <v>479</v>
      </c>
      <c r="R86" s="1" t="s">
        <v>479</v>
      </c>
      <c r="S86" s="6" t="s">
        <v>479</v>
      </c>
      <c r="T86" s="6" t="s">
        <v>479</v>
      </c>
      <c r="U86" s="6" t="s">
        <v>479</v>
      </c>
      <c r="V86" s="6" t="s">
        <v>479</v>
      </c>
      <c r="Y86" s="6" t="s">
        <v>821</v>
      </c>
    </row>
    <row r="87" spans="1:27" ht="16.5" customHeight="1" x14ac:dyDescent="0.2">
      <c r="A87" s="22" t="s">
        <v>787</v>
      </c>
      <c r="B87" s="1" t="s">
        <v>787</v>
      </c>
      <c r="C87" s="6" t="s">
        <v>22</v>
      </c>
      <c r="D87" s="1" t="s">
        <v>673</v>
      </c>
      <c r="E87" s="1" t="s">
        <v>248</v>
      </c>
      <c r="F87" s="1" t="s">
        <v>737</v>
      </c>
      <c r="G87" s="1" t="s">
        <v>479</v>
      </c>
      <c r="H87" s="1" t="s">
        <v>479</v>
      </c>
      <c r="I87" s="8" t="s">
        <v>479</v>
      </c>
      <c r="J87" s="1" t="s">
        <v>479</v>
      </c>
      <c r="K87" s="1" t="s">
        <v>479</v>
      </c>
      <c r="L87" s="1" t="s">
        <v>479</v>
      </c>
      <c r="M87" s="1" t="s">
        <v>479</v>
      </c>
      <c r="N87" s="1" t="s">
        <v>788</v>
      </c>
      <c r="O87" s="1"/>
      <c r="P87" s="1" t="s">
        <v>1286</v>
      </c>
      <c r="Q87" s="1" t="s">
        <v>479</v>
      </c>
      <c r="R87" s="1" t="s">
        <v>479</v>
      </c>
      <c r="S87" s="6" t="s">
        <v>479</v>
      </c>
      <c r="T87" s="6" t="s">
        <v>479</v>
      </c>
      <c r="U87" s="6" t="s">
        <v>479</v>
      </c>
      <c r="V87" s="6" t="s">
        <v>479</v>
      </c>
      <c r="Y87" s="6" t="s">
        <v>824</v>
      </c>
    </row>
    <row r="88" spans="1:27" ht="16.5" customHeight="1" x14ac:dyDescent="0.2">
      <c r="A88" s="22" t="s">
        <v>789</v>
      </c>
      <c r="B88" s="1" t="s">
        <v>789</v>
      </c>
      <c r="C88" s="6" t="s">
        <v>26</v>
      </c>
      <c r="D88" s="1" t="s">
        <v>673</v>
      </c>
      <c r="E88" s="1" t="s">
        <v>248</v>
      </c>
      <c r="F88" s="1" t="s">
        <v>740</v>
      </c>
      <c r="G88" s="1" t="s">
        <v>479</v>
      </c>
      <c r="H88" s="1" t="s">
        <v>479</v>
      </c>
      <c r="I88" s="8" t="s">
        <v>479</v>
      </c>
      <c r="J88" s="1" t="s">
        <v>479</v>
      </c>
      <c r="K88" s="1" t="s">
        <v>479</v>
      </c>
      <c r="L88" s="1" t="s">
        <v>479</v>
      </c>
      <c r="M88" s="1" t="s">
        <v>479</v>
      </c>
      <c r="N88" s="1" t="s">
        <v>790</v>
      </c>
      <c r="O88" s="1" t="s">
        <v>1405</v>
      </c>
      <c r="P88" s="1" t="s">
        <v>1287</v>
      </c>
      <c r="Q88" s="1" t="s">
        <v>479</v>
      </c>
      <c r="R88" s="1" t="s">
        <v>479</v>
      </c>
      <c r="S88" s="6" t="s">
        <v>479</v>
      </c>
      <c r="T88" s="6" t="s">
        <v>479</v>
      </c>
      <c r="U88" s="6" t="s">
        <v>479</v>
      </c>
      <c r="V88" s="6" t="s">
        <v>479</v>
      </c>
      <c r="X88" s="6" t="s">
        <v>826</v>
      </c>
      <c r="Y88" s="6" t="s">
        <v>827</v>
      </c>
    </row>
    <row r="89" spans="1:27" ht="16.5" customHeight="1" x14ac:dyDescent="0.2">
      <c r="A89" s="22" t="s">
        <v>791</v>
      </c>
      <c r="B89" s="1" t="s">
        <v>791</v>
      </c>
      <c r="C89" s="6" t="s">
        <v>37</v>
      </c>
      <c r="D89" s="1" t="s">
        <v>673</v>
      </c>
      <c r="E89" s="1" t="s">
        <v>248</v>
      </c>
      <c r="F89" s="1" t="s">
        <v>665</v>
      </c>
      <c r="G89" s="1" t="s">
        <v>479</v>
      </c>
      <c r="H89" s="1" t="s">
        <v>479</v>
      </c>
      <c r="I89" s="7" t="s">
        <v>479</v>
      </c>
      <c r="J89" s="1" t="s">
        <v>479</v>
      </c>
      <c r="K89" s="1" t="s">
        <v>479</v>
      </c>
      <c r="L89" s="1" t="s">
        <v>479</v>
      </c>
      <c r="M89" s="1" t="s">
        <v>479</v>
      </c>
      <c r="N89" s="1" t="s">
        <v>792</v>
      </c>
      <c r="O89" s="1" t="s">
        <v>793</v>
      </c>
      <c r="P89" s="1" t="s">
        <v>1288</v>
      </c>
      <c r="Q89" s="1" t="s">
        <v>829</v>
      </c>
      <c r="R89" s="1" t="s">
        <v>502</v>
      </c>
      <c r="S89" s="6" t="s">
        <v>479</v>
      </c>
      <c r="T89" s="6" t="s">
        <v>479</v>
      </c>
      <c r="U89" s="6" t="s">
        <v>479</v>
      </c>
      <c r="V89" s="6" t="s">
        <v>479</v>
      </c>
      <c r="W89" s="6" t="s">
        <v>479</v>
      </c>
      <c r="X89" s="6" t="s">
        <v>479</v>
      </c>
      <c r="Y89" s="6" t="s">
        <v>830</v>
      </c>
      <c r="AA89" s="6" t="s">
        <v>831</v>
      </c>
    </row>
    <row r="90" spans="1:27" ht="16.5" customHeight="1" x14ac:dyDescent="0.2">
      <c r="A90" s="22" t="s">
        <v>1406</v>
      </c>
      <c r="B90" s="1" t="s">
        <v>1406</v>
      </c>
      <c r="C90" s="6" t="s">
        <v>26</v>
      </c>
      <c r="D90" s="1" t="s">
        <v>452</v>
      </c>
      <c r="E90" s="1" t="s">
        <v>156</v>
      </c>
      <c r="F90" s="1" t="s">
        <v>1407</v>
      </c>
      <c r="G90" s="1" t="s">
        <v>1408</v>
      </c>
      <c r="H90" s="1" t="s">
        <v>479</v>
      </c>
      <c r="I90" s="7" t="s">
        <v>479</v>
      </c>
      <c r="J90" s="1" t="s">
        <v>479</v>
      </c>
      <c r="K90" s="1" t="s">
        <v>479</v>
      </c>
      <c r="L90" s="1" t="s">
        <v>479</v>
      </c>
      <c r="M90" s="1" t="s">
        <v>479</v>
      </c>
      <c r="N90" s="1" t="s">
        <v>1409</v>
      </c>
      <c r="O90" s="1"/>
      <c r="P90" s="1" t="s">
        <v>1410</v>
      </c>
      <c r="Q90" s="1"/>
      <c r="R90" s="1"/>
    </row>
    <row r="91" spans="1:27" ht="16.5" customHeight="1" x14ac:dyDescent="0.2">
      <c r="A91" s="22" t="s">
        <v>794</v>
      </c>
      <c r="B91" s="1" t="s">
        <v>794</v>
      </c>
      <c r="C91" s="6" t="s">
        <v>37</v>
      </c>
      <c r="D91" s="1" t="s">
        <v>1186</v>
      </c>
      <c r="E91" s="1" t="s">
        <v>156</v>
      </c>
      <c r="F91" s="1" t="s">
        <v>795</v>
      </c>
      <c r="G91" s="1" t="s">
        <v>479</v>
      </c>
      <c r="H91" s="1" t="s">
        <v>479</v>
      </c>
      <c r="I91" s="8" t="s">
        <v>479</v>
      </c>
      <c r="J91" s="1" t="s">
        <v>479</v>
      </c>
      <c r="K91" s="1" t="s">
        <v>479</v>
      </c>
      <c r="L91" s="1" t="s">
        <v>479</v>
      </c>
      <c r="M91" s="1" t="s">
        <v>479</v>
      </c>
      <c r="N91" s="1" t="s">
        <v>796</v>
      </c>
      <c r="O91" s="1"/>
      <c r="P91" s="1" t="s">
        <v>1289</v>
      </c>
      <c r="Q91" s="1" t="s">
        <v>835</v>
      </c>
      <c r="R91" s="1" t="s">
        <v>479</v>
      </c>
      <c r="S91" s="6" t="s">
        <v>479</v>
      </c>
      <c r="T91" s="6" t="s">
        <v>479</v>
      </c>
      <c r="U91" s="6" t="s">
        <v>479</v>
      </c>
      <c r="V91" s="6" t="s">
        <v>479</v>
      </c>
      <c r="W91" s="6" t="s">
        <v>479</v>
      </c>
      <c r="X91" s="6" t="s">
        <v>479</v>
      </c>
      <c r="Y91" s="6" t="s">
        <v>836</v>
      </c>
      <c r="AA91" s="6" t="s">
        <v>837</v>
      </c>
    </row>
    <row r="92" spans="1:27" ht="16.5" customHeight="1" x14ac:dyDescent="0.2">
      <c r="A92" s="22" t="s">
        <v>798</v>
      </c>
      <c r="B92" s="1" t="s">
        <v>798</v>
      </c>
      <c r="C92" s="6" t="s">
        <v>17</v>
      </c>
      <c r="D92" s="1" t="s">
        <v>1164</v>
      </c>
      <c r="E92" s="1" t="s">
        <v>248</v>
      </c>
      <c r="F92" s="1" t="s">
        <v>752</v>
      </c>
      <c r="G92" s="1" t="s">
        <v>799</v>
      </c>
      <c r="H92" s="1" t="s">
        <v>479</v>
      </c>
      <c r="I92" s="8" t="s">
        <v>479</v>
      </c>
      <c r="J92" s="1" t="s">
        <v>479</v>
      </c>
      <c r="K92" s="1" t="s">
        <v>479</v>
      </c>
      <c r="L92" s="1" t="s">
        <v>479</v>
      </c>
      <c r="M92" s="1" t="s">
        <v>479</v>
      </c>
      <c r="N92" s="1"/>
      <c r="O92" s="1"/>
      <c r="P92" s="1" t="s">
        <v>1290</v>
      </c>
      <c r="Q92" s="1" t="s">
        <v>841</v>
      </c>
      <c r="R92" s="1"/>
      <c r="S92" s="6" t="s">
        <v>842</v>
      </c>
    </row>
    <row r="93" spans="1:27" ht="16.5" customHeight="1" x14ac:dyDescent="0.2">
      <c r="A93" s="22" t="s">
        <v>801</v>
      </c>
      <c r="B93" s="1" t="s">
        <v>801</v>
      </c>
      <c r="C93" s="6" t="s">
        <v>22</v>
      </c>
      <c r="D93" s="1" t="s">
        <v>1164</v>
      </c>
      <c r="E93" s="1" t="s">
        <v>248</v>
      </c>
      <c r="F93" s="1" t="s">
        <v>756</v>
      </c>
      <c r="G93" s="1" t="s">
        <v>802</v>
      </c>
      <c r="H93" s="1" t="s">
        <v>479</v>
      </c>
      <c r="I93" s="7" t="s">
        <v>479</v>
      </c>
      <c r="J93" s="1" t="s">
        <v>479</v>
      </c>
      <c r="K93" s="1" t="s">
        <v>479</v>
      </c>
      <c r="L93" s="1" t="s">
        <v>479</v>
      </c>
      <c r="M93" s="1" t="s">
        <v>479</v>
      </c>
      <c r="N93" s="1"/>
      <c r="O93" s="1"/>
      <c r="P93" s="1" t="s">
        <v>1291</v>
      </c>
      <c r="Q93" s="1" t="s">
        <v>844</v>
      </c>
      <c r="R93" s="1" t="s">
        <v>845</v>
      </c>
      <c r="S93" s="6" t="s">
        <v>479</v>
      </c>
      <c r="T93" s="6" t="s">
        <v>479</v>
      </c>
      <c r="U93" s="6" t="s">
        <v>479</v>
      </c>
      <c r="V93" s="6" t="s">
        <v>479</v>
      </c>
      <c r="W93" s="6" t="s">
        <v>479</v>
      </c>
      <c r="X93" s="6" t="s">
        <v>479</v>
      </c>
      <c r="Y93" s="6" t="s">
        <v>846</v>
      </c>
      <c r="AA93" s="6" t="s">
        <v>847</v>
      </c>
    </row>
    <row r="94" spans="1:27" ht="16.5" customHeight="1" x14ac:dyDescent="0.2">
      <c r="A94" s="22" t="s">
        <v>804</v>
      </c>
      <c r="B94" s="1" t="s">
        <v>804</v>
      </c>
      <c r="C94" s="6" t="s">
        <v>26</v>
      </c>
      <c r="D94" s="1" t="s">
        <v>1164</v>
      </c>
      <c r="E94" s="1" t="s">
        <v>248</v>
      </c>
      <c r="F94" s="1" t="s">
        <v>805</v>
      </c>
      <c r="G94" s="1" t="s">
        <v>806</v>
      </c>
      <c r="H94" s="1" t="s">
        <v>479</v>
      </c>
      <c r="I94" s="7" t="s">
        <v>479</v>
      </c>
      <c r="J94" s="1" t="s">
        <v>479</v>
      </c>
      <c r="K94" s="1" t="s">
        <v>479</v>
      </c>
      <c r="L94" s="1" t="s">
        <v>479</v>
      </c>
      <c r="M94" s="1" t="s">
        <v>479</v>
      </c>
      <c r="N94" s="1"/>
      <c r="O94" s="1" t="s">
        <v>1411</v>
      </c>
      <c r="P94" s="1" t="s">
        <v>1292</v>
      </c>
      <c r="Q94" s="1"/>
      <c r="R94" s="1"/>
    </row>
    <row r="95" spans="1:27" ht="16.5" customHeight="1" x14ac:dyDescent="0.2">
      <c r="A95" s="22" t="s">
        <v>809</v>
      </c>
      <c r="B95" s="1" t="s">
        <v>809</v>
      </c>
      <c r="C95" s="6" t="s">
        <v>17</v>
      </c>
      <c r="D95" s="1" t="s">
        <v>1293</v>
      </c>
      <c r="E95" s="1" t="s">
        <v>248</v>
      </c>
      <c r="F95" s="1" t="s">
        <v>721</v>
      </c>
      <c r="G95" s="1" t="s">
        <v>479</v>
      </c>
      <c r="H95" s="1" t="s">
        <v>479</v>
      </c>
      <c r="I95" s="8" t="s">
        <v>479</v>
      </c>
      <c r="J95" s="1" t="s">
        <v>479</v>
      </c>
      <c r="K95" s="1" t="s">
        <v>479</v>
      </c>
      <c r="L95" s="1" t="s">
        <v>479</v>
      </c>
      <c r="M95" s="1" t="s">
        <v>479</v>
      </c>
      <c r="N95" s="1" t="s">
        <v>810</v>
      </c>
      <c r="O95" s="1"/>
      <c r="P95" s="1" t="s">
        <v>1294</v>
      </c>
      <c r="Q95" s="1"/>
      <c r="R95" s="1"/>
    </row>
    <row r="96" spans="1:27" ht="16.5" customHeight="1" x14ac:dyDescent="0.2">
      <c r="A96" s="22" t="s">
        <v>812</v>
      </c>
      <c r="B96" s="1" t="s">
        <v>812</v>
      </c>
      <c r="C96" s="6" t="s">
        <v>22</v>
      </c>
      <c r="D96" s="1" t="s">
        <v>1293</v>
      </c>
      <c r="E96" s="1" t="s">
        <v>248</v>
      </c>
      <c r="F96" s="1" t="s">
        <v>737</v>
      </c>
      <c r="G96" s="1" t="s">
        <v>479</v>
      </c>
      <c r="H96" s="1" t="s">
        <v>479</v>
      </c>
      <c r="I96" s="7" t="s">
        <v>479</v>
      </c>
      <c r="J96" s="1" t="s">
        <v>479</v>
      </c>
      <c r="K96" s="1" t="s">
        <v>479</v>
      </c>
      <c r="L96" s="1" t="s">
        <v>479</v>
      </c>
      <c r="M96" s="1" t="s">
        <v>479</v>
      </c>
      <c r="N96" s="1" t="s">
        <v>813</v>
      </c>
      <c r="O96" s="1"/>
      <c r="P96" s="1" t="s">
        <v>1295</v>
      </c>
      <c r="Q96" s="1"/>
      <c r="R96" s="1"/>
    </row>
    <row r="97" spans="1:18" ht="16.5" customHeight="1" x14ac:dyDescent="0.2">
      <c r="A97" s="22" t="s">
        <v>815</v>
      </c>
      <c r="B97" s="1" t="s">
        <v>815</v>
      </c>
      <c r="C97" s="6" t="s">
        <v>26</v>
      </c>
      <c r="D97" s="1" t="s">
        <v>1293</v>
      </c>
      <c r="E97" s="1" t="s">
        <v>248</v>
      </c>
      <c r="F97" s="1" t="s">
        <v>740</v>
      </c>
      <c r="G97" s="1" t="s">
        <v>479</v>
      </c>
      <c r="H97" s="1" t="s">
        <v>479</v>
      </c>
      <c r="I97" s="7" t="s">
        <v>479</v>
      </c>
      <c r="J97" s="1" t="s">
        <v>479</v>
      </c>
      <c r="K97" s="1" t="s">
        <v>479</v>
      </c>
      <c r="L97" s="1" t="s">
        <v>479</v>
      </c>
      <c r="M97" s="1" t="s">
        <v>479</v>
      </c>
      <c r="N97" s="1" t="s">
        <v>816</v>
      </c>
      <c r="O97" s="1" t="s">
        <v>1412</v>
      </c>
      <c r="P97" s="1" t="s">
        <v>1296</v>
      </c>
      <c r="Q97" s="1"/>
      <c r="R97" s="1"/>
    </row>
    <row r="98" spans="1:18" ht="16.5" customHeight="1" x14ac:dyDescent="0.2">
      <c r="A98" s="22" t="s">
        <v>819</v>
      </c>
      <c r="B98" s="1" t="s">
        <v>819</v>
      </c>
      <c r="C98" s="6" t="s">
        <v>17</v>
      </c>
      <c r="D98" s="1" t="s">
        <v>1164</v>
      </c>
      <c r="E98" s="1" t="s">
        <v>248</v>
      </c>
      <c r="F98" s="1" t="s">
        <v>820</v>
      </c>
      <c r="G98" s="1" t="s">
        <v>653</v>
      </c>
      <c r="H98" s="1" t="s">
        <v>479</v>
      </c>
      <c r="I98" s="8" t="s">
        <v>479</v>
      </c>
      <c r="J98" s="1" t="s">
        <v>479</v>
      </c>
      <c r="K98" s="1" t="s">
        <v>479</v>
      </c>
      <c r="L98" s="1" t="s">
        <v>479</v>
      </c>
      <c r="M98" s="1" t="s">
        <v>479</v>
      </c>
      <c r="N98" s="1"/>
      <c r="O98" s="1"/>
      <c r="P98" s="1" t="s">
        <v>1297</v>
      </c>
      <c r="Q98" s="1"/>
      <c r="R98" s="1"/>
    </row>
    <row r="99" spans="1:18" ht="16.5" customHeight="1" x14ac:dyDescent="0.2">
      <c r="A99" s="22" t="s">
        <v>822</v>
      </c>
      <c r="B99" s="1" t="s">
        <v>822</v>
      </c>
      <c r="C99" s="6" t="s">
        <v>22</v>
      </c>
      <c r="D99" s="1" t="s">
        <v>1164</v>
      </c>
      <c r="E99" s="1" t="s">
        <v>248</v>
      </c>
      <c r="F99" s="1" t="s">
        <v>823</v>
      </c>
      <c r="G99" s="1" t="s">
        <v>657</v>
      </c>
      <c r="H99" s="1" t="s">
        <v>479</v>
      </c>
      <c r="I99" s="7" t="s">
        <v>479</v>
      </c>
      <c r="J99" s="1" t="s">
        <v>479</v>
      </c>
      <c r="K99" s="1" t="s">
        <v>479</v>
      </c>
      <c r="L99" s="1" t="s">
        <v>479</v>
      </c>
      <c r="M99" s="1" t="s">
        <v>479</v>
      </c>
      <c r="N99" s="1"/>
      <c r="O99" s="1"/>
      <c r="P99" s="1" t="s">
        <v>1298</v>
      </c>
      <c r="Q99" s="1"/>
      <c r="R99" s="1"/>
    </row>
    <row r="100" spans="1:18" ht="16.5" customHeight="1" x14ac:dyDescent="0.2">
      <c r="A100" s="23" t="s">
        <v>825</v>
      </c>
      <c r="B100" s="6" t="s">
        <v>825</v>
      </c>
      <c r="C100" s="6" t="s">
        <v>26</v>
      </c>
      <c r="D100" s="6" t="s">
        <v>1164</v>
      </c>
      <c r="E100" s="6" t="s">
        <v>248</v>
      </c>
      <c r="F100" s="6" t="s">
        <v>501</v>
      </c>
      <c r="G100" s="6" t="s">
        <v>661</v>
      </c>
      <c r="H100" s="6" t="s">
        <v>479</v>
      </c>
      <c r="I100" s="6" t="s">
        <v>479</v>
      </c>
      <c r="J100" s="6" t="s">
        <v>479</v>
      </c>
      <c r="K100" s="6" t="s">
        <v>479</v>
      </c>
      <c r="L100" s="6" t="s">
        <v>479</v>
      </c>
      <c r="M100" s="6" t="s">
        <v>479</v>
      </c>
      <c r="O100" s="6" t="s">
        <v>1413</v>
      </c>
      <c r="P100" s="6" t="s">
        <v>1299</v>
      </c>
    </row>
    <row r="101" spans="1:18" ht="16.5" customHeight="1" x14ac:dyDescent="0.2">
      <c r="A101" s="23" t="s">
        <v>828</v>
      </c>
      <c r="B101" s="6" t="s">
        <v>828</v>
      </c>
      <c r="C101" s="6" t="s">
        <v>37</v>
      </c>
      <c r="D101" s="6" t="s">
        <v>1157</v>
      </c>
      <c r="E101" s="6" t="s">
        <v>38</v>
      </c>
      <c r="F101" s="6" t="s">
        <v>829</v>
      </c>
      <c r="G101" s="6" t="s">
        <v>502</v>
      </c>
      <c r="H101" s="6" t="s">
        <v>479</v>
      </c>
      <c r="I101" s="6" t="s">
        <v>479</v>
      </c>
      <c r="J101" s="6" t="s">
        <v>479</v>
      </c>
      <c r="K101" s="6" t="s">
        <v>479</v>
      </c>
      <c r="L101" s="6" t="s">
        <v>479</v>
      </c>
      <c r="M101" s="6" t="s">
        <v>479</v>
      </c>
      <c r="N101" s="6" t="s">
        <v>830</v>
      </c>
      <c r="P101" s="6" t="s">
        <v>1300</v>
      </c>
    </row>
    <row r="102" spans="1:18" ht="16.5" customHeight="1" x14ac:dyDescent="0.2">
      <c r="A102" s="23" t="s">
        <v>832</v>
      </c>
      <c r="B102" s="6" t="s">
        <v>832</v>
      </c>
      <c r="C102" s="6" t="s">
        <v>26</v>
      </c>
      <c r="D102" s="6" t="s">
        <v>452</v>
      </c>
      <c r="E102" s="6" t="s">
        <v>38</v>
      </c>
      <c r="F102" s="6" t="s">
        <v>833</v>
      </c>
      <c r="G102" s="6" t="s">
        <v>479</v>
      </c>
      <c r="H102" s="6" t="s">
        <v>479</v>
      </c>
      <c r="I102" s="6" t="s">
        <v>479</v>
      </c>
      <c r="J102" s="6" t="s">
        <v>479</v>
      </c>
      <c r="K102" s="6" t="s">
        <v>479</v>
      </c>
      <c r="L102" s="6" t="s">
        <v>479</v>
      </c>
      <c r="M102" s="6" t="s">
        <v>479</v>
      </c>
      <c r="O102" s="6" t="s">
        <v>564</v>
      </c>
      <c r="P102" s="6" t="s">
        <v>1301</v>
      </c>
    </row>
    <row r="103" spans="1:18" ht="16.5" customHeight="1" x14ac:dyDescent="0.2">
      <c r="A103" s="23" t="s">
        <v>834</v>
      </c>
      <c r="B103" s="6" t="s">
        <v>834</v>
      </c>
      <c r="C103" s="6" t="s">
        <v>37</v>
      </c>
      <c r="D103" s="6" t="s">
        <v>1157</v>
      </c>
      <c r="E103" s="6" t="s">
        <v>158</v>
      </c>
      <c r="F103" s="6" t="s">
        <v>835</v>
      </c>
      <c r="G103" s="6" t="s">
        <v>479</v>
      </c>
      <c r="H103" s="6" t="s">
        <v>479</v>
      </c>
      <c r="I103" s="6" t="s">
        <v>479</v>
      </c>
      <c r="J103" s="6" t="s">
        <v>479</v>
      </c>
      <c r="K103" s="6" t="s">
        <v>479</v>
      </c>
      <c r="L103" s="6" t="s">
        <v>479</v>
      </c>
      <c r="M103" s="6" t="s">
        <v>479</v>
      </c>
      <c r="N103" s="6" t="s">
        <v>836</v>
      </c>
      <c r="P103" s="6" t="s">
        <v>1302</v>
      </c>
    </row>
    <row r="104" spans="1:18" ht="16.5" customHeight="1" x14ac:dyDescent="0.2">
      <c r="A104" s="23" t="s">
        <v>838</v>
      </c>
      <c r="B104" s="6" t="s">
        <v>838</v>
      </c>
      <c r="C104" s="6" t="s">
        <v>37</v>
      </c>
      <c r="D104" s="6" t="s">
        <v>1194</v>
      </c>
      <c r="E104" s="6" t="s">
        <v>158</v>
      </c>
      <c r="F104" s="6" t="s">
        <v>839</v>
      </c>
      <c r="G104" s="6" t="s">
        <v>840</v>
      </c>
      <c r="H104" s="6" t="s">
        <v>479</v>
      </c>
      <c r="I104" s="6" t="s">
        <v>479</v>
      </c>
      <c r="J104" s="6" t="s">
        <v>479</v>
      </c>
      <c r="K104" s="6" t="s">
        <v>479</v>
      </c>
      <c r="L104" s="6" t="s">
        <v>479</v>
      </c>
      <c r="M104" s="6" t="s">
        <v>479</v>
      </c>
      <c r="N104" s="6" t="s">
        <v>841</v>
      </c>
      <c r="P104" s="6" t="s">
        <v>1303</v>
      </c>
    </row>
    <row r="105" spans="1:18" ht="16.5" customHeight="1" x14ac:dyDescent="0.2">
      <c r="A105" s="23" t="s">
        <v>843</v>
      </c>
      <c r="B105" s="6" t="s">
        <v>843</v>
      </c>
      <c r="C105" s="6" t="s">
        <v>37</v>
      </c>
      <c r="D105" s="6" t="s">
        <v>1197</v>
      </c>
      <c r="E105" s="6" t="s">
        <v>158</v>
      </c>
      <c r="F105" s="6" t="s">
        <v>844</v>
      </c>
      <c r="G105" s="6" t="s">
        <v>845</v>
      </c>
      <c r="H105" s="6" t="s">
        <v>479</v>
      </c>
      <c r="I105" s="6" t="s">
        <v>479</v>
      </c>
      <c r="J105" s="6" t="s">
        <v>479</v>
      </c>
      <c r="K105" s="6" t="s">
        <v>479</v>
      </c>
      <c r="L105" s="6" t="s">
        <v>479</v>
      </c>
      <c r="M105" s="6" t="s">
        <v>479</v>
      </c>
      <c r="N105" s="6" t="s">
        <v>846</v>
      </c>
      <c r="P105" s="6" t="s">
        <v>1304</v>
      </c>
    </row>
    <row r="106" spans="1:18" ht="16.5" customHeight="1" x14ac:dyDescent="0.2">
      <c r="A106" s="23" t="s">
        <v>1305</v>
      </c>
      <c r="B106" s="6" t="s">
        <v>1305</v>
      </c>
      <c r="C106" s="6" t="s">
        <v>37</v>
      </c>
      <c r="D106" s="6" t="s">
        <v>1157</v>
      </c>
      <c r="E106" s="6" t="s">
        <v>38</v>
      </c>
      <c r="F106" s="6" t="s">
        <v>660</v>
      </c>
      <c r="G106" s="6" t="s">
        <v>661</v>
      </c>
      <c r="H106" s="6" t="s">
        <v>479</v>
      </c>
      <c r="I106" s="6" t="s">
        <v>479</v>
      </c>
      <c r="J106" s="6" t="s">
        <v>479</v>
      </c>
      <c r="K106" s="6" t="s">
        <v>479</v>
      </c>
      <c r="L106" s="6" t="s">
        <v>479</v>
      </c>
      <c r="M106" s="6" t="s">
        <v>479</v>
      </c>
      <c r="N106" s="6" t="s">
        <v>1306</v>
      </c>
      <c r="P106" s="6" t="s">
        <v>1307</v>
      </c>
    </row>
    <row r="107" spans="1:18" ht="16.5" customHeight="1" x14ac:dyDescent="0.2">
      <c r="A107" s="23"/>
    </row>
    <row r="108" spans="1:18" ht="16.5" customHeight="1" x14ac:dyDescent="0.2">
      <c r="A108" s="23"/>
    </row>
  </sheetData>
  <autoFilter ref="A1:AA104"/>
  <phoneticPr fontId="1" type="noConversion"/>
  <conditionalFormatting sqref="C1:C103 C109:C1048576">
    <cfRule type="cellIs" dxfId="8" priority="4" operator="equal">
      <formula>"Purple"</formula>
    </cfRule>
    <cfRule type="cellIs" dxfId="7" priority="5" operator="equal">
      <formula>"Gold"</formula>
    </cfRule>
    <cfRule type="cellIs" dxfId="6" priority="6" operator="equal">
      <formula>"Blue"</formula>
    </cfRule>
  </conditionalFormatting>
  <conditionalFormatting sqref="C104:C108">
    <cfRule type="cellIs" dxfId="5" priority="1" operator="equal">
      <formula>"Purple"</formula>
    </cfRule>
    <cfRule type="cellIs" dxfId="4" priority="2" operator="equal">
      <formula>"Gold"</formula>
    </cfRule>
    <cfRule type="cellIs" dxfId="3" priority="3" operator="equal">
      <formula>"Blue"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G30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24" sqref="C24"/>
    </sheetView>
  </sheetViews>
  <sheetFormatPr defaultRowHeight="16.5" x14ac:dyDescent="0.2"/>
  <cols>
    <col min="1" max="1" width="9" style="13"/>
    <col min="2" max="2" width="9.5" style="13" customWidth="1"/>
    <col min="3" max="3" width="10.25" style="13" customWidth="1"/>
    <col min="4" max="4" width="25.625" style="13" customWidth="1"/>
    <col min="5" max="16384" width="9" style="13"/>
  </cols>
  <sheetData>
    <row r="2" spans="2:7" x14ac:dyDescent="0.2">
      <c r="B2" s="15"/>
      <c r="C2" s="15"/>
      <c r="D2" s="15"/>
      <c r="E2" s="28" t="s">
        <v>454</v>
      </c>
      <c r="F2" s="28"/>
      <c r="G2" s="28"/>
    </row>
    <row r="3" spans="2:7" x14ac:dyDescent="0.2">
      <c r="B3" s="15" t="s">
        <v>453</v>
      </c>
      <c r="C3" s="15" t="s">
        <v>462</v>
      </c>
      <c r="D3" s="15" t="s">
        <v>464</v>
      </c>
      <c r="E3" s="15" t="s">
        <v>465</v>
      </c>
      <c r="F3" s="15" t="s">
        <v>463</v>
      </c>
      <c r="G3" s="15" t="s">
        <v>466</v>
      </c>
    </row>
    <row r="4" spans="2:7" x14ac:dyDescent="0.2">
      <c r="B4" s="14" t="s">
        <v>455</v>
      </c>
      <c r="C4" s="1" t="s">
        <v>459</v>
      </c>
      <c r="D4" s="14" t="str">
        <f>B4&amp;"+"&amp;C4</f>
        <v>驱逐炮+通常弹</v>
      </c>
      <c r="E4" s="14">
        <v>1</v>
      </c>
      <c r="F4" s="14">
        <v>0.5</v>
      </c>
      <c r="G4" s="14">
        <v>0.2</v>
      </c>
    </row>
    <row r="5" spans="2:7" x14ac:dyDescent="0.2">
      <c r="B5" s="14" t="s">
        <v>455</v>
      </c>
      <c r="C5" s="1" t="s">
        <v>460</v>
      </c>
      <c r="D5" s="14" t="str">
        <f t="shared" ref="D5:D15" si="0">B5&amp;"+"&amp;C5</f>
        <v>驱逐炮+高爆弹</v>
      </c>
      <c r="E5" s="14">
        <v>1.2</v>
      </c>
      <c r="F5" s="14">
        <v>0.6</v>
      </c>
      <c r="G5" s="14">
        <v>0.6</v>
      </c>
    </row>
    <row r="6" spans="2:7" x14ac:dyDescent="0.2">
      <c r="B6" s="14" t="s">
        <v>455</v>
      </c>
      <c r="C6" s="1" t="s">
        <v>461</v>
      </c>
      <c r="D6" s="14" t="str">
        <f t="shared" si="0"/>
        <v>驱逐炮+穿甲弹</v>
      </c>
      <c r="E6" s="14">
        <v>0.9</v>
      </c>
      <c r="F6" s="14">
        <v>0.7</v>
      </c>
      <c r="G6" s="14">
        <v>0.4</v>
      </c>
    </row>
    <row r="7" spans="2:7" x14ac:dyDescent="0.2">
      <c r="B7" s="14" t="s">
        <v>456</v>
      </c>
      <c r="C7" s="1" t="s">
        <v>459</v>
      </c>
      <c r="D7" s="14" t="str">
        <f t="shared" si="0"/>
        <v>轻巡炮+通常弹</v>
      </c>
      <c r="E7" s="14">
        <v>1</v>
      </c>
      <c r="F7" s="14">
        <v>0.75</v>
      </c>
      <c r="G7" s="14">
        <v>0.4</v>
      </c>
    </row>
    <row r="8" spans="2:7" x14ac:dyDescent="0.2">
      <c r="B8" s="14" t="s">
        <v>456</v>
      </c>
      <c r="C8" s="1" t="s">
        <v>460</v>
      </c>
      <c r="D8" s="14" t="str">
        <f t="shared" si="0"/>
        <v>轻巡炮+高爆弹</v>
      </c>
      <c r="E8" s="14">
        <v>1.45</v>
      </c>
      <c r="F8" s="14">
        <v>1.1000000000000001</v>
      </c>
      <c r="G8" s="14">
        <v>0.75</v>
      </c>
    </row>
    <row r="9" spans="2:7" x14ac:dyDescent="0.2">
      <c r="B9" s="14" t="s">
        <v>456</v>
      </c>
      <c r="C9" s="1" t="s">
        <v>461</v>
      </c>
      <c r="D9" s="14" t="str">
        <f t="shared" si="0"/>
        <v>轻巡炮+穿甲弹</v>
      </c>
      <c r="E9" s="14">
        <v>1</v>
      </c>
      <c r="F9" s="14">
        <v>0.8</v>
      </c>
      <c r="G9" s="14">
        <v>0.6</v>
      </c>
    </row>
    <row r="10" spans="2:7" x14ac:dyDescent="0.2">
      <c r="B10" s="14" t="s">
        <v>457</v>
      </c>
      <c r="C10" s="1" t="s">
        <v>459</v>
      </c>
      <c r="D10" s="14" t="str">
        <f t="shared" si="0"/>
        <v>重巡炮+通常弹</v>
      </c>
      <c r="E10" s="14">
        <v>1</v>
      </c>
      <c r="F10" s="14">
        <v>0.9</v>
      </c>
      <c r="G10" s="14">
        <v>0.5</v>
      </c>
    </row>
    <row r="11" spans="2:7" x14ac:dyDescent="0.2">
      <c r="B11" s="14" t="s">
        <v>457</v>
      </c>
      <c r="C11" s="1" t="s">
        <v>460</v>
      </c>
      <c r="D11" s="14" t="str">
        <f t="shared" si="0"/>
        <v>重巡炮+高爆弹</v>
      </c>
      <c r="E11" s="14">
        <v>1.35</v>
      </c>
      <c r="F11" s="14">
        <v>0.95</v>
      </c>
      <c r="G11" s="14">
        <v>0.7</v>
      </c>
    </row>
    <row r="12" spans="2:7" x14ac:dyDescent="0.2">
      <c r="B12" s="14" t="s">
        <v>457</v>
      </c>
      <c r="C12" s="1" t="s">
        <v>461</v>
      </c>
      <c r="D12" s="14" t="str">
        <f t="shared" si="0"/>
        <v>重巡炮+穿甲弹</v>
      </c>
      <c r="E12" s="14">
        <v>0.75</v>
      </c>
      <c r="F12" s="14">
        <v>1.1000000000000001</v>
      </c>
      <c r="G12" s="14">
        <v>0.75</v>
      </c>
    </row>
    <row r="13" spans="2:7" x14ac:dyDescent="0.2">
      <c r="B13" s="14" t="s">
        <v>458</v>
      </c>
      <c r="C13" s="1" t="s">
        <v>459</v>
      </c>
      <c r="D13" s="14" t="str">
        <f t="shared" si="0"/>
        <v>战列炮+通常弹</v>
      </c>
      <c r="E13" s="14">
        <v>0.7</v>
      </c>
      <c r="F13" s="14">
        <v>1</v>
      </c>
      <c r="G13" s="14">
        <v>0.9</v>
      </c>
    </row>
    <row r="14" spans="2:7" x14ac:dyDescent="0.2">
      <c r="B14" s="14" t="s">
        <v>458</v>
      </c>
      <c r="C14" s="1" t="s">
        <v>460</v>
      </c>
      <c r="D14" s="14" t="str">
        <f t="shared" si="0"/>
        <v>战列炮+高爆弹</v>
      </c>
      <c r="E14" s="14">
        <v>1.4</v>
      </c>
      <c r="F14" s="14">
        <v>1.1000000000000001</v>
      </c>
      <c r="G14" s="14">
        <v>0.9</v>
      </c>
    </row>
    <row r="15" spans="2:7" x14ac:dyDescent="0.2">
      <c r="B15" s="14" t="s">
        <v>458</v>
      </c>
      <c r="C15" s="1" t="s">
        <v>461</v>
      </c>
      <c r="D15" s="14" t="str">
        <f t="shared" si="0"/>
        <v>战列炮+穿甲弹</v>
      </c>
      <c r="E15" s="14">
        <v>0.45</v>
      </c>
      <c r="F15" s="14">
        <v>1.3</v>
      </c>
      <c r="G15" s="14">
        <v>1.1000000000000001</v>
      </c>
    </row>
    <row r="18" spans="2:3" x14ac:dyDescent="0.2">
      <c r="B18" s="16"/>
      <c r="C18" s="16" t="s">
        <v>873</v>
      </c>
    </row>
    <row r="19" spans="2:3" x14ac:dyDescent="0.2">
      <c r="B19" s="14" t="s">
        <v>455</v>
      </c>
      <c r="C19" s="13">
        <v>0.16</v>
      </c>
    </row>
    <row r="20" spans="2:3" x14ac:dyDescent="0.2">
      <c r="B20" s="14" t="s">
        <v>456</v>
      </c>
      <c r="C20" s="13">
        <v>0.18</v>
      </c>
    </row>
    <row r="21" spans="2:3" x14ac:dyDescent="0.2">
      <c r="B21" s="14" t="s">
        <v>457</v>
      </c>
      <c r="C21" s="13">
        <v>0.2</v>
      </c>
    </row>
    <row r="23" spans="2:3" x14ac:dyDescent="0.2">
      <c r="B23" s="16" t="s">
        <v>874</v>
      </c>
      <c r="C23" s="13">
        <v>0.1</v>
      </c>
    </row>
    <row r="25" spans="2:3" x14ac:dyDescent="0.2">
      <c r="B25" s="17" t="s">
        <v>876</v>
      </c>
      <c r="C25" s="13">
        <v>100</v>
      </c>
    </row>
    <row r="29" spans="2:3" x14ac:dyDescent="0.2">
      <c r="B29" s="26" t="s">
        <v>1308</v>
      </c>
    </row>
    <row r="30" spans="2:3" x14ac:dyDescent="0.2">
      <c r="B30" s="13">
        <v>1.22</v>
      </c>
      <c r="C30" s="13">
        <v>0.64</v>
      </c>
    </row>
  </sheetData>
  <mergeCells count="1">
    <mergeCell ref="E2:G2"/>
  </mergeCells>
  <phoneticPr fontId="1" type="noConversion"/>
  <conditionalFormatting sqref="C4:C15">
    <cfRule type="cellIs" dxfId="2" priority="1" operator="equal">
      <formula>"通常弹"</formula>
    </cfRule>
    <cfRule type="cellIs" dxfId="1" priority="2" operator="equal">
      <formula>"穿甲弹"</formula>
    </cfRule>
    <cfRule type="cellIs" dxfId="0" priority="3" operator="equal">
      <formula>"高爆弹"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舰炮</vt:lpstr>
      <vt:lpstr>防空炮</vt:lpstr>
      <vt:lpstr>鱼雷</vt:lpstr>
      <vt:lpstr>舰载机</vt:lpstr>
      <vt:lpstr>设备</vt:lpstr>
      <vt:lpstr>附件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pot</cp:lastModifiedBy>
  <dcterms:created xsi:type="dcterms:W3CDTF">2015-06-05T18:19:34Z</dcterms:created>
  <dcterms:modified xsi:type="dcterms:W3CDTF">2021-01-03T18:50:52Z</dcterms:modified>
</cp:coreProperties>
</file>